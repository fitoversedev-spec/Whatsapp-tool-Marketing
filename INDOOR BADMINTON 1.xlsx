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Santanu Bose\Desktop\elite\QUOTE AND FILES\"/>
    </mc:Choice>
  </mc:AlternateContent>
  <xr:revisionPtr revIDLastSave="0" documentId="13_ncr:1_{09BAFE52-56D4-434D-BEEA-B0B05FC03F36}" xr6:coauthVersionLast="36" xr6:coauthVersionMax="47" xr10:uidLastSave="{00000000-0000-0000-0000-000000000000}"/>
  <bookViews>
    <workbookView xWindow="-105" yWindow="-105" windowWidth="19425" windowHeight="10305" tabRatio="562" xr2:uid="{00000000-000D-0000-FFFF-FFFF00000000}"/>
  </bookViews>
  <sheets>
    <sheet name="Sheet2" sheetId="8" r:id="rId1"/>
    <sheet name="Sheet1" sheetId="5" state="hidden"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8" l="1"/>
  <c r="F5" i="8"/>
  <c r="F6" i="8" s="1"/>
  <c r="F23" i="8"/>
  <c r="F22" i="8"/>
  <c r="F20" i="8"/>
  <c r="F19" i="8"/>
  <c r="F18" i="8"/>
  <c r="F17" i="8"/>
  <c r="F16" i="8"/>
  <c r="F15" i="8"/>
  <c r="F14" i="8"/>
  <c r="F10" i="8"/>
  <c r="F9" i="8"/>
  <c r="F11" i="8" l="1"/>
  <c r="F26" i="8" s="1"/>
  <c r="F24" i="8"/>
  <c r="F27" i="8" l="1"/>
  <c r="F28" i="8" s="1"/>
  <c r="G15" i="5" l="1"/>
  <c r="H16" i="5" s="1"/>
  <c r="E5" i="5"/>
  <c r="G5" i="5" s="1"/>
  <c r="E9" i="5"/>
  <c r="G9" i="5" s="1"/>
  <c r="E8" i="5"/>
  <c r="G8" i="5" s="1"/>
  <c r="E7" i="5"/>
  <c r="G7" i="5" s="1"/>
  <c r="E6" i="5"/>
  <c r="G6" i="5" s="1"/>
  <c r="G10" i="5" l="1"/>
  <c r="G12" i="5" l="1"/>
  <c r="G13" i="5" s="1"/>
  <c r="G16" i="5" s="1"/>
  <c r="G11" i="5"/>
</calcChain>
</file>

<file path=xl/sharedStrings.xml><?xml version="1.0" encoding="utf-8"?>
<sst xmlns="http://schemas.openxmlformats.org/spreadsheetml/2006/main" count="63" uniqueCount="54">
  <si>
    <t>Amount</t>
  </si>
  <si>
    <t>QTY</t>
  </si>
  <si>
    <t>RATE</t>
  </si>
  <si>
    <t>PCC</t>
  </si>
  <si>
    <t>Rate</t>
  </si>
  <si>
    <t>BlockWork</t>
  </si>
  <si>
    <t>Coping</t>
  </si>
  <si>
    <t>Steel</t>
  </si>
  <si>
    <t>Exc</t>
  </si>
  <si>
    <t>RATE/RFT</t>
  </si>
  <si>
    <t>RATE/RMT</t>
  </si>
  <si>
    <t>A</t>
  </si>
  <si>
    <t>TOTAL</t>
  </si>
  <si>
    <t>B</t>
  </si>
  <si>
    <t>C</t>
  </si>
  <si>
    <t>SL.NO</t>
  </si>
  <si>
    <t>DESCRIPTION</t>
  </si>
  <si>
    <t>UOM</t>
  </si>
  <si>
    <t>AMOUNT</t>
  </si>
  <si>
    <t>Sqft</t>
  </si>
  <si>
    <t>BADMINTON COURT FLOORING (WOOD+VINYL)</t>
  </si>
  <si>
    <t>BADMINTON COURTS &amp; SHELL CONSTRUCTION</t>
  </si>
  <si>
    <t xml:space="preserve">Design, Fabrication, supply and Fabrication of MS structure which Consists of base plate, foundation bolts MS frames required as per design and drawings 150mm x 5 mm thk SHS pillars and 60 x 40 mm thik truss 80 mm x 40mm 2,4mm thk purlins including connecting plates, gussets and necessary hardware. Cost includes welding of members using structural steel welding electrodes as per approved enamel paint and enamel primer sheet with 0.5mm thk colour coated sheet for roof, height of the roof will be 30 feet.
One coat of primer application &amp; two coats of enamel(Black/grey)
</t>
  </si>
  <si>
    <t>CIVIL WORKS</t>
  </si>
  <si>
    <t>Excavation for the footings &amp; SSM including back filling of soil .</t>
  </si>
  <si>
    <t>cum</t>
  </si>
  <si>
    <t>Pcc for the footings &amp; SSM</t>
  </si>
  <si>
    <t>Providing and laying SSM work for wall to be build at center of parking area with 1: 6 CM ratio including Curing etc..</t>
  </si>
  <si>
    <t>Plinth work all around the four sides of build up area , with M-20 grade of concrete , (1:1.5:3) ,Using TMT bars of 6 (12mm ) nos with 7" c/c spacing .</t>
  </si>
  <si>
    <t>lumpsum</t>
  </si>
  <si>
    <t xml:space="preserve"> Pedestrail and pillars for MS pillars
Footing Bar bending using Fe550 TMT bars and shuttering, concreting using M25 grade concrete.
Footing 900x900mm
Column 450x450(upto 4feet from footing to ground level.
Note: Isolated footings for structure : pillar height depends on hard strata (Soil condition)
</t>
  </si>
  <si>
    <t>No's</t>
  </si>
  <si>
    <t>Providing and building Solid block work using 6" blocks according to the requirment of the client using 1:6 CM ratio, including Curing etc at Ground floor</t>
  </si>
  <si>
    <t>sqm</t>
  </si>
  <si>
    <t>Plastering on both side of the wall using 1:4 CM ratio , including scaffholding ,curing and etc. for the walls</t>
  </si>
  <si>
    <t>Badminton  Reinforced Concrete Sub-Flooring
Earthwork and Ground Preparation:
Carry out earthwork on hard soil to create a proper ground slope for leveling and lowering. This includes manual excavation and compaction of the original ground upto 6inches using an 8 to 10-ton static roller. Fill any depressions formed during rolling. All labor, equipment hire, and materials shall be included as per the specifications.
Weedicide Treatment:
Apply a pre-construction weedicide over the prepared surface to prevent weed growth. Use 5 liters of emulsion
concentrate per square meter, containing 1% chlorpyrifos.
WBM/WMM Layering:
Supply and lay a 100mm thick compacted layer of WBM/WMM (as per material availability) in a single layer. Use mixed- grade metal, followed by spreading, watering, and compaction with an 8 to 10-ton static roller.
RCC Work:
Providing and laying of Steel mat 8mm main bars at 350 c/c and 8mm distribution rods at 350mm c/c.
Provide and lay Plain Cement Concrete (M20 grade) up to 125mm thick using a 1:1.5:3 concrete mix ratio. Ensure the sub-base slope is constructed as per the approved drawings.</t>
  </si>
  <si>
    <t>Providing and Painting for external &amp;the internal walls with 2 coats of putty by sanding and over one coat of primer , two coats of Paint of Asian tractor range . One coat of primer and two coat of paint for External surface of apex range</t>
  </si>
  <si>
    <t>GRAND TOTAL</t>
  </si>
  <si>
    <t>GST 18%</t>
  </si>
  <si>
    <t xml:space="preserve">Payment Terms : </t>
  </si>
  <si>
    <t>*20% Upon completion of Structure, Concrete Base, Lighting.</t>
  </si>
  <si>
    <t>*15% Against delivery of products.</t>
  </si>
  <si>
    <t>*5% final payment upon completion and Handover.</t>
  </si>
  <si>
    <t>(All advances will be calculated on total project value inclusive of GST as applicable)</t>
  </si>
  <si>
    <t>Terms &amp; Conditions*</t>
  </si>
  <si>
    <t xml:space="preserve">*Secure material storage at the site will be offered at no additional cost by the client. </t>
  </si>
  <si>
    <t xml:space="preserve">*Provision of water and electricity connection should be provided by the client at no additional cost. </t>
  </si>
  <si>
    <t>*Excess Soil removal from site or additional soil required at site will be additional charges.</t>
  </si>
  <si>
    <t>*Accommodation/Labour shed at the site needs to be arranged by client.</t>
  </si>
  <si>
    <t>*60% Advance along with work order in favour of ELITE SPORTS INFRA LLP</t>
  </si>
  <si>
    <t>Design, Fabrication, supply and Fabrication of MS structure which Consists of base plate, foundation bolts MS frames required as per design and drawings 150mm x 5 mm thk SHS pillars and 60 x 40 mm thik truss 80 mm x 40mm 2,4mm thk purlins including connecting plates, gussets and necessary hardware. Cost includes welding of members using structural
steel welding electrodes as per approved enamel paint and enamel primer sheet with 0.5mm thk colour coated Jsw sheet for sides.
One coat of primer application &amp; two coats of enamel(Black/grey)
Supply, fixing, and commissioning of 6 Nos. turbo wind ventilators complete with centre ridge profile flashings, L-corner profile flashings, and pre-fabricated FRP rainwater gutters provided on both sides, including all fittings and accessories.</t>
  </si>
  <si>
    <t>Supply &amp; installation of BWF-compliant e synthetic vinyl sports flooring  fully compliant with BWF performance guidelines.
Badminton Synthetic Mats
Supply &amp; Installation of Advanced Sports Flooring System: High-end performance-oriented system featuring a 0.5mm Playing Layer for impact resistance, Dual Cushion multi-layered technology for enhanced shock absorption, and a Crystal Sand texture finish for professional grip. System is UV-stable in Green.</t>
  </si>
  <si>
    <t>4 x BADMINTON INDOOR COURT TURNKEY</t>
  </si>
  <si>
    <r>
      <rPr>
        <b/>
        <sz val="16"/>
        <color theme="1"/>
        <rFont val="Calibri"/>
        <family val="2"/>
        <scheme val="minor"/>
      </rPr>
      <t>Badminton Court Lighting</t>
    </r>
    <r>
      <rPr>
        <sz val="16"/>
        <color theme="1"/>
        <rFont val="Calibri"/>
        <family val="2"/>
        <scheme val="minor"/>
      </rPr>
      <t xml:space="preserve">
Supply and installation of BWF recommended 150 watts linear lights of 28 no's (6 lights per court) along with complete wiring and MCB's, DB's and Main board IP65(Water &amp; weather proof) Drivers &amp; choke used.
Driver 440 volt protections.
 Drivers at 300 Volt cutoff.
Surge protection device (SPD) used.
Led part used - Osram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</si>
</sst>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_(* #,##0.00_);_(* \(#,##0.00\);_(* &quot;-&quot;??_);_(@_)"/>
    <numFmt numFmtId="165" formatCode="0.0000"/>
    <numFmt numFmtId="166" formatCode="&quot;₹&quot;#,##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Franklin Gothic Book"/>
      <family val="2"/>
    </font>
    <font>
      <b/>
      <sz val="11"/>
      <color indexed="9"/>
      <name val="Calibri"/>
      <family val="2"/>
    </font>
    <font>
      <sz val="10"/>
      <name val="Arial"/>
      <family val="2"/>
    </font>
    <font>
      <b/>
      <sz val="14"/>
      <color rgb="FFFF0000"/>
      <name val="Calibri"/>
      <family val="2"/>
      <scheme val="minor"/>
    </font>
    <font>
      <b/>
      <u/>
      <sz val="16"/>
      <color theme="1"/>
      <name val="Calibri"/>
      <family val="2"/>
      <scheme val="minor"/>
    </font>
    <font>
      <b/>
      <sz val="16"/>
      <color theme="0"/>
      <name val="Calibri"/>
      <family val="2"/>
      <scheme val="minor"/>
    </font>
    <font>
      <b/>
      <sz val="16"/>
      <color theme="1"/>
      <name val="Calibri"/>
      <family val="2"/>
      <scheme val="minor"/>
    </font>
    <font>
      <sz val="16"/>
      <color theme="1"/>
      <name val="Calibri"/>
      <family val="2"/>
      <scheme val="minor"/>
    </font>
    <font>
      <b/>
      <u/>
      <sz val="18"/>
      <color theme="1"/>
      <name val="Calibri"/>
      <family val="2"/>
      <scheme val="minor"/>
    </font>
  </fonts>
  <fills count="9">
    <fill>
      <patternFill patternType="none"/>
    </fill>
    <fill>
      <patternFill patternType="gray125"/>
    </fill>
    <fill>
      <patternFill patternType="solid">
        <fgColor indexed="55"/>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0"/>
        <bgColor indexed="64"/>
      </patternFill>
    </fill>
    <fill>
      <patternFill patternType="solid">
        <fgColor theme="2" tint="-9.9978637043366805E-2"/>
        <bgColor indexed="64"/>
      </patternFill>
    </fill>
    <fill>
      <patternFill patternType="solid">
        <fgColor theme="5"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s>
  <cellStyleXfs count="16">
    <xf numFmtId="0" fontId="0" fillId="0" borderId="0"/>
    <xf numFmtId="0" fontId="3" fillId="0" borderId="0"/>
    <xf numFmtId="0" fontId="4" fillId="2" borderId="2">
      <alignment vertical="top"/>
      <protection locked="0"/>
    </xf>
    <xf numFmtId="0" fontId="5" fillId="0" borderId="0">
      <protection locked="0"/>
    </xf>
    <xf numFmtId="0" fontId="1" fillId="0" borderId="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82">
    <xf numFmtId="0" fontId="0" fillId="0" borderId="0" xfId="0"/>
    <xf numFmtId="0" fontId="0" fillId="0" borderId="1" xfId="0" applyBorder="1"/>
    <xf numFmtId="1" fontId="0" fillId="0" borderId="1" xfId="0" applyNumberFormat="1" applyBorder="1"/>
    <xf numFmtId="0" fontId="2" fillId="3" borderId="1" xfId="0" applyFont="1" applyFill="1" applyBorder="1" applyAlignment="1">
      <alignment horizontal="center" vertical="center"/>
    </xf>
    <xf numFmtId="0" fontId="0" fillId="4" borderId="1" xfId="0" applyFill="1" applyBorder="1"/>
    <xf numFmtId="0" fontId="2" fillId="4" borderId="1" xfId="0" applyFont="1" applyFill="1" applyBorder="1"/>
    <xf numFmtId="165" fontId="0" fillId="0" borderId="1" xfId="0" applyNumberFormat="1" applyBorder="1" applyAlignment="1">
      <alignment horizontal="right"/>
    </xf>
    <xf numFmtId="1" fontId="2" fillId="4" borderId="1" xfId="0" applyNumberFormat="1" applyFont="1" applyFill="1" applyBorder="1"/>
    <xf numFmtId="0" fontId="6" fillId="0" borderId="0" xfId="0" applyFont="1"/>
    <xf numFmtId="0" fontId="8" fillId="5" borderId="23" xfId="0" applyFont="1" applyFill="1" applyBorder="1" applyAlignment="1">
      <alignment horizontal="center" vertical="center"/>
    </xf>
    <xf numFmtId="0" fontId="8" fillId="5" borderId="24" xfId="0" applyFont="1" applyFill="1" applyBorder="1" applyAlignment="1">
      <alignment horizontal="center" vertical="top" wrapText="1"/>
    </xf>
    <xf numFmtId="0" fontId="8" fillId="5" borderId="24" xfId="0" applyFont="1" applyFill="1" applyBorder="1" applyAlignment="1">
      <alignment horizontal="center" vertical="center"/>
    </xf>
    <xf numFmtId="166" fontId="8" fillId="5" borderId="24" xfId="0" applyNumberFormat="1" applyFont="1" applyFill="1" applyBorder="1" applyAlignment="1">
      <alignment horizontal="center" vertical="center"/>
    </xf>
    <xf numFmtId="0" fontId="8" fillId="5" borderId="25" xfId="0" applyFont="1" applyFill="1" applyBorder="1" applyAlignment="1">
      <alignment horizontal="center" vertical="center"/>
    </xf>
    <xf numFmtId="0" fontId="9" fillId="7" borderId="14"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19" xfId="0" applyFont="1" applyFill="1" applyBorder="1" applyAlignment="1">
      <alignment horizontal="left" vertical="top" wrapText="1"/>
    </xf>
    <xf numFmtId="0" fontId="10" fillId="6" borderId="6" xfId="0" applyFont="1" applyFill="1" applyBorder="1" applyAlignment="1">
      <alignment horizontal="left" vertical="center"/>
    </xf>
    <xf numFmtId="1" fontId="10" fillId="6" borderId="6" xfId="0" applyNumberFormat="1" applyFont="1" applyFill="1" applyBorder="1" applyAlignment="1">
      <alignment horizontal="left" vertical="center"/>
    </xf>
    <xf numFmtId="166" fontId="10" fillId="0" borderId="6" xfId="0" applyNumberFormat="1" applyFont="1" applyBorder="1" applyAlignment="1">
      <alignment horizontal="left" vertical="center"/>
    </xf>
    <xf numFmtId="166" fontId="10" fillId="6" borderId="7" xfId="15" applyNumberFormat="1" applyFont="1" applyFill="1" applyBorder="1" applyAlignment="1">
      <alignment horizontal="left" vertical="center"/>
    </xf>
    <xf numFmtId="166" fontId="9" fillId="7" borderId="11" xfId="0" applyNumberFormat="1" applyFont="1" applyFill="1" applyBorder="1" applyAlignment="1">
      <alignment horizontal="left" vertical="center" wrapText="1"/>
    </xf>
    <xf numFmtId="0" fontId="10" fillId="6" borderId="0" xfId="0" applyFont="1" applyFill="1" applyAlignment="1">
      <alignment horizontal="center" vertical="center"/>
    </xf>
    <xf numFmtId="0" fontId="9" fillId="6" borderId="0" xfId="0" applyFont="1" applyFill="1" applyAlignment="1">
      <alignment horizontal="left" vertical="top" wrapText="1"/>
    </xf>
    <xf numFmtId="0" fontId="10" fillId="6" borderId="0" xfId="0" applyFont="1" applyFill="1" applyAlignment="1">
      <alignment horizontal="left" vertical="center"/>
    </xf>
    <xf numFmtId="1" fontId="10" fillId="6" borderId="0" xfId="0" applyNumberFormat="1" applyFont="1" applyFill="1" applyAlignment="1">
      <alignment horizontal="left" vertical="center"/>
    </xf>
    <xf numFmtId="166" fontId="10" fillId="6" borderId="0" xfId="0" applyNumberFormat="1" applyFont="1" applyFill="1" applyAlignment="1">
      <alignment horizontal="left" vertical="center"/>
    </xf>
    <xf numFmtId="166" fontId="10" fillId="6" borderId="0" xfId="15" applyNumberFormat="1" applyFont="1" applyFill="1" applyBorder="1" applyAlignment="1">
      <alignment horizontal="left" vertical="center"/>
    </xf>
    <xf numFmtId="0" fontId="9" fillId="7" borderId="23" xfId="0" applyFont="1" applyFill="1" applyBorder="1" applyAlignment="1">
      <alignment horizontal="center" vertical="center"/>
    </xf>
    <xf numFmtId="0" fontId="10" fillId="6" borderId="14" xfId="0" applyFont="1" applyFill="1" applyBorder="1" applyAlignment="1">
      <alignment horizontal="center" vertical="center"/>
    </xf>
    <xf numFmtId="0" fontId="10" fillId="6" borderId="11" xfId="0" applyFont="1" applyFill="1" applyBorder="1" applyAlignment="1">
      <alignment horizontal="left" vertical="top" wrapText="1"/>
    </xf>
    <xf numFmtId="0" fontId="10" fillId="6" borderId="11" xfId="0" applyFont="1" applyFill="1" applyBorder="1" applyAlignment="1">
      <alignment horizontal="left" vertical="center"/>
    </xf>
    <xf numFmtId="1" fontId="10" fillId="6" borderId="11" xfId="0" applyNumberFormat="1" applyFont="1" applyFill="1" applyBorder="1" applyAlignment="1">
      <alignment horizontal="left" vertical="center"/>
    </xf>
    <xf numFmtId="166" fontId="10" fillId="6" borderId="11" xfId="0" applyNumberFormat="1" applyFont="1" applyFill="1" applyBorder="1" applyAlignment="1">
      <alignment horizontal="left" vertical="center"/>
    </xf>
    <xf numFmtId="166" fontId="10" fillId="6" borderId="13" xfId="15" applyNumberFormat="1" applyFont="1" applyFill="1" applyBorder="1" applyAlignment="1">
      <alignment horizontal="left" vertical="center"/>
    </xf>
    <xf numFmtId="0" fontId="10" fillId="6" borderId="20" xfId="0" applyFont="1" applyFill="1" applyBorder="1" applyAlignment="1">
      <alignment horizontal="center" vertical="center"/>
    </xf>
    <xf numFmtId="0" fontId="10" fillId="6" borderId="10" xfId="0" applyFont="1" applyFill="1" applyBorder="1" applyAlignment="1">
      <alignment horizontal="left" vertical="top" wrapText="1"/>
    </xf>
    <xf numFmtId="0" fontId="10" fillId="6" borderId="10" xfId="0" applyFont="1" applyFill="1" applyBorder="1" applyAlignment="1">
      <alignment horizontal="left" vertical="center"/>
    </xf>
    <xf numFmtId="1" fontId="10" fillId="6" borderId="10" xfId="0" applyNumberFormat="1" applyFont="1" applyFill="1" applyBorder="1" applyAlignment="1">
      <alignment horizontal="left" vertical="center"/>
    </xf>
    <xf numFmtId="166" fontId="10" fillId="6" borderId="10" xfId="0" applyNumberFormat="1" applyFont="1" applyFill="1" applyBorder="1" applyAlignment="1">
      <alignment horizontal="left" vertical="center"/>
    </xf>
    <xf numFmtId="166" fontId="10" fillId="6" borderId="12" xfId="15" applyNumberFormat="1" applyFont="1" applyFill="1" applyBorder="1" applyAlignment="1">
      <alignment horizontal="left" vertical="center"/>
    </xf>
    <xf numFmtId="0" fontId="9" fillId="7" borderId="5" xfId="0" applyFont="1" applyFill="1" applyBorder="1" applyAlignment="1">
      <alignment horizontal="center" vertical="center"/>
    </xf>
    <xf numFmtId="166" fontId="9" fillId="7" borderId="7" xfId="0" applyNumberFormat="1" applyFont="1" applyFill="1" applyBorder="1" applyAlignment="1">
      <alignment horizontal="left" vertical="center" wrapText="1"/>
    </xf>
    <xf numFmtId="0" fontId="10" fillId="6" borderId="3" xfId="0" applyFont="1" applyFill="1" applyBorder="1" applyAlignment="1">
      <alignment horizontal="center" vertical="center"/>
    </xf>
    <xf numFmtId="0" fontId="10" fillId="6" borderId="1" xfId="0" applyFont="1" applyFill="1" applyBorder="1" applyAlignment="1">
      <alignment horizontal="left" vertical="top" wrapText="1"/>
    </xf>
    <xf numFmtId="0" fontId="10" fillId="6" borderId="1" xfId="0" applyFont="1" applyFill="1" applyBorder="1" applyAlignment="1">
      <alignment horizontal="left" vertical="center"/>
    </xf>
    <xf numFmtId="1" fontId="10" fillId="6" borderId="1" xfId="0" applyNumberFormat="1" applyFont="1" applyFill="1" applyBorder="1" applyAlignment="1">
      <alignment horizontal="left" vertical="center"/>
    </xf>
    <xf numFmtId="166" fontId="10" fillId="6" borderId="1" xfId="0" applyNumberFormat="1" applyFont="1" applyFill="1" applyBorder="1" applyAlignment="1">
      <alignment horizontal="left" vertical="center"/>
    </xf>
    <xf numFmtId="166" fontId="10" fillId="6" borderId="4" xfId="15" applyNumberFormat="1" applyFont="1" applyFill="1" applyBorder="1" applyAlignment="1">
      <alignment horizontal="left" vertical="center"/>
    </xf>
    <xf numFmtId="0" fontId="9" fillId="7" borderId="29" xfId="0" applyFont="1" applyFill="1" applyBorder="1" applyAlignment="1">
      <alignment horizontal="center" vertical="center"/>
    </xf>
    <xf numFmtId="0" fontId="10" fillId="6" borderId="11" xfId="0" applyFont="1" applyFill="1" applyBorder="1" applyAlignment="1">
      <alignment horizontal="center" vertical="center" wrapText="1"/>
    </xf>
    <xf numFmtId="0" fontId="10" fillId="6" borderId="11" xfId="0" applyFont="1" applyFill="1" applyBorder="1" applyAlignment="1">
      <alignment horizontal="left" vertical="center" wrapText="1"/>
    </xf>
    <xf numFmtId="1" fontId="10" fillId="6" borderId="11" xfId="0" applyNumberFormat="1" applyFont="1" applyFill="1" applyBorder="1" applyAlignment="1">
      <alignment horizontal="left" vertical="center" wrapText="1"/>
    </xf>
    <xf numFmtId="166" fontId="10" fillId="6" borderId="11" xfId="0" applyNumberFormat="1" applyFont="1" applyFill="1" applyBorder="1" applyAlignment="1">
      <alignment horizontal="left" vertical="center" wrapText="1"/>
    </xf>
    <xf numFmtId="166" fontId="9" fillId="6" borderId="11" xfId="15" applyNumberFormat="1" applyFont="1" applyFill="1" applyBorder="1" applyAlignment="1">
      <alignment horizontal="left" vertical="center" wrapText="1"/>
    </xf>
    <xf numFmtId="0" fontId="10" fillId="8" borderId="1" xfId="0" applyFont="1" applyFill="1" applyBorder="1" applyAlignment="1">
      <alignment horizontal="center" vertical="center" wrapText="1"/>
    </xf>
    <xf numFmtId="0" fontId="10" fillId="8" borderId="1" xfId="0" applyFont="1" applyFill="1" applyBorder="1" applyAlignment="1">
      <alignment horizontal="left" vertical="top" wrapText="1"/>
    </xf>
    <xf numFmtId="0" fontId="10" fillId="8" borderId="1" xfId="0" applyFont="1" applyFill="1" applyBorder="1" applyAlignment="1">
      <alignment horizontal="left" vertical="center" wrapText="1"/>
    </xf>
    <xf numFmtId="1" fontId="10" fillId="8" borderId="1" xfId="0" applyNumberFormat="1" applyFont="1" applyFill="1" applyBorder="1" applyAlignment="1">
      <alignment horizontal="left" vertical="center" wrapText="1"/>
    </xf>
    <xf numFmtId="166" fontId="11" fillId="8" borderId="1" xfId="0" applyNumberFormat="1" applyFont="1" applyFill="1" applyBorder="1" applyAlignment="1">
      <alignment horizontal="left" vertical="center" wrapText="1"/>
    </xf>
    <xf numFmtId="166" fontId="11" fillId="8" borderId="1" xfId="15" applyNumberFormat="1" applyFont="1" applyFill="1" applyBorder="1" applyAlignment="1">
      <alignment horizontal="left" vertical="center" wrapText="1"/>
    </xf>
    <xf numFmtId="0" fontId="10" fillId="5" borderId="18" xfId="0" applyFont="1" applyFill="1" applyBorder="1" applyAlignment="1">
      <alignment horizontal="center" vertical="center" wrapText="1"/>
    </xf>
    <xf numFmtId="0" fontId="10" fillId="5" borderId="15" xfId="0" applyFont="1" applyFill="1" applyBorder="1" applyAlignment="1">
      <alignment horizontal="left" vertical="top" wrapText="1"/>
    </xf>
    <xf numFmtId="0" fontId="10" fillId="5" borderId="16" xfId="0" applyFont="1" applyFill="1" applyBorder="1" applyAlignment="1">
      <alignment horizontal="left" vertical="center" wrapText="1"/>
    </xf>
    <xf numFmtId="1" fontId="10" fillId="5" borderId="16" xfId="0" applyNumberFormat="1" applyFont="1" applyFill="1" applyBorder="1" applyAlignment="1">
      <alignment horizontal="left" vertical="center" wrapText="1"/>
    </xf>
    <xf numFmtId="166" fontId="11" fillId="5" borderId="16" xfId="0" applyNumberFormat="1" applyFont="1" applyFill="1" applyBorder="1" applyAlignment="1">
      <alignment horizontal="left" vertical="center" wrapText="1"/>
    </xf>
    <xf numFmtId="166" fontId="11" fillId="5" borderId="1" xfId="15" applyNumberFormat="1" applyFont="1" applyFill="1" applyBorder="1" applyAlignment="1">
      <alignment horizontal="left" vertical="center" wrapText="1"/>
    </xf>
    <xf numFmtId="0" fontId="0" fillId="0" borderId="0" xfId="0" applyFont="1"/>
    <xf numFmtId="0" fontId="7" fillId="0" borderId="9" xfId="0" applyFont="1" applyBorder="1" applyAlignment="1">
      <alignment horizontal="center" vertical="top" wrapText="1"/>
    </xf>
    <xf numFmtId="0" fontId="7" fillId="0" borderId="8" xfId="0" applyFont="1" applyBorder="1" applyAlignment="1">
      <alignment horizontal="center" vertical="top" wrapText="1"/>
    </xf>
    <xf numFmtId="0" fontId="7" fillId="7" borderId="21" xfId="0" applyFont="1" applyFill="1" applyBorder="1" applyAlignment="1">
      <alignment horizontal="left" vertical="top" wrapText="1"/>
    </xf>
    <xf numFmtId="0" fontId="7" fillId="7" borderId="22" xfId="0" applyFont="1" applyFill="1" applyBorder="1" applyAlignment="1">
      <alignment horizontal="left" vertical="top" wrapText="1"/>
    </xf>
    <xf numFmtId="0" fontId="7" fillId="7" borderId="19" xfId="0" applyFont="1" applyFill="1" applyBorder="1" applyAlignment="1">
      <alignment horizontal="left" vertical="top" wrapText="1"/>
    </xf>
    <xf numFmtId="0" fontId="9" fillId="7" borderId="15"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7" fillId="7" borderId="15" xfId="0" applyFont="1" applyFill="1" applyBorder="1" applyAlignment="1">
      <alignment horizontal="left" vertical="top" wrapText="1"/>
    </xf>
    <xf numFmtId="0" fontId="7" fillId="7" borderId="16" xfId="0" applyFont="1" applyFill="1" applyBorder="1" applyAlignment="1">
      <alignment horizontal="left" vertical="top" wrapText="1"/>
    </xf>
    <xf numFmtId="0" fontId="7" fillId="7" borderId="18" xfId="0" applyFont="1" applyFill="1" applyBorder="1" applyAlignment="1">
      <alignment horizontal="left" vertical="top" wrapText="1"/>
    </xf>
    <xf numFmtId="0" fontId="9" fillId="7" borderId="26" xfId="0" applyFont="1" applyFill="1" applyBorder="1" applyAlignment="1">
      <alignment horizontal="center" vertical="center" wrapText="1"/>
    </xf>
    <xf numFmtId="0" fontId="9" fillId="7" borderId="27" xfId="0" applyFont="1" applyFill="1" applyBorder="1" applyAlignment="1">
      <alignment horizontal="center" vertical="center" wrapText="1"/>
    </xf>
    <xf numFmtId="0" fontId="9" fillId="7" borderId="28" xfId="0" applyFont="1" applyFill="1" applyBorder="1" applyAlignment="1">
      <alignment horizontal="center" vertical="center" wrapText="1"/>
    </xf>
  </cellXfs>
  <cellStyles count="16">
    <cellStyle name="20% - Accent6 4 6 2 2" xfId="3" xr:uid="{00000000-0005-0000-0000-000000000000}"/>
    <cellStyle name="20% - Accent6 4 6 2 2 2" xfId="2" xr:uid="{00000000-0005-0000-0000-000001000000}"/>
    <cellStyle name="Comma 12" xfId="6" xr:uid="{00000000-0005-0000-0000-000003000000}"/>
    <cellStyle name="Comma 12 2" xfId="9" xr:uid="{00000000-0005-0000-0000-000004000000}"/>
    <cellStyle name="Comma 12 2 2" xfId="11" xr:uid="{00000000-0005-0000-0000-000005000000}"/>
    <cellStyle name="Comma 12 2 3" xfId="14" xr:uid="{00000000-0005-0000-0000-000006000000}"/>
    <cellStyle name="Comma 12 3" xfId="12" xr:uid="{00000000-0005-0000-0000-000007000000}"/>
    <cellStyle name="Comma 2" xfId="8" xr:uid="{00000000-0005-0000-0000-000008000000}"/>
    <cellStyle name="Comma 2 2" xfId="10" xr:uid="{00000000-0005-0000-0000-000009000000}"/>
    <cellStyle name="Comma 2 3" xfId="13" xr:uid="{00000000-0005-0000-0000-00000A000000}"/>
    <cellStyle name="Currency" xfId="15" builtinId="4"/>
    <cellStyle name="Normal" xfId="0" builtinId="0"/>
    <cellStyle name="Normal 13" xfId="1" xr:uid="{00000000-0005-0000-0000-00000C000000}"/>
    <cellStyle name="Normal 20" xfId="5" xr:uid="{00000000-0005-0000-0000-00000D000000}"/>
    <cellStyle name="Normal 23" xfId="7" xr:uid="{00000000-0005-0000-0000-00000E000000}"/>
    <cellStyle name="Normal 3" xfId="4" xr:uid="{00000000-0005-0000-0000-00000F000000}"/>
  </cellStyles>
  <dxfs count="0"/>
  <tableStyles count="0" defaultTableStyle="TableStyleMedium2" defaultPivotStyle="PivotStyleLight16"/>
  <colors>
    <mruColors>
      <color rgb="FFBDD7EE"/>
      <color rgb="FF365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20A3-0DBC-469E-BE96-5FEB6C01A8B4}">
  <sheetPr>
    <pageSetUpPr fitToPage="1"/>
  </sheetPr>
  <dimension ref="A1:F43"/>
  <sheetViews>
    <sheetView tabSelected="1" zoomScale="47" workbookViewId="0">
      <selection activeCell="J6" sqref="J6"/>
    </sheetView>
  </sheetViews>
  <sheetFormatPr defaultRowHeight="15" x14ac:dyDescent="0.25"/>
  <cols>
    <col min="1" max="1" width="14.85546875" customWidth="1"/>
    <col min="2" max="2" width="127.28515625" customWidth="1"/>
    <col min="3" max="3" width="15.140625" customWidth="1"/>
    <col min="4" max="4" width="14.42578125" customWidth="1"/>
    <col min="5" max="5" width="25.140625" customWidth="1"/>
    <col min="6" max="6" width="30.85546875" customWidth="1"/>
  </cols>
  <sheetData>
    <row r="1" spans="1:6" ht="18" customHeight="1" x14ac:dyDescent="0.25">
      <c r="A1" s="68" t="s">
        <v>52</v>
      </c>
      <c r="B1" s="68"/>
      <c r="C1" s="68"/>
      <c r="D1" s="68"/>
      <c r="E1" s="68"/>
      <c r="F1" s="68"/>
    </row>
    <row r="2" spans="1:6" ht="18.600000000000001" customHeight="1" thickBot="1" x14ac:dyDescent="0.3">
      <c r="A2" s="69"/>
      <c r="B2" s="69"/>
      <c r="C2" s="69"/>
      <c r="D2" s="69"/>
      <c r="E2" s="69"/>
      <c r="F2" s="69"/>
    </row>
    <row r="3" spans="1:6" ht="21.75" thickBot="1" x14ac:dyDescent="0.3">
      <c r="A3" s="9" t="s">
        <v>15</v>
      </c>
      <c r="B3" s="10" t="s">
        <v>16</v>
      </c>
      <c r="C3" s="11" t="s">
        <v>17</v>
      </c>
      <c r="D3" s="11" t="s">
        <v>1</v>
      </c>
      <c r="E3" s="12" t="s">
        <v>2</v>
      </c>
      <c r="F3" s="13" t="s">
        <v>18</v>
      </c>
    </row>
    <row r="4" spans="1:6" ht="21" x14ac:dyDescent="0.25">
      <c r="A4" s="14" t="s">
        <v>11</v>
      </c>
      <c r="B4" s="73" t="s">
        <v>20</v>
      </c>
      <c r="C4" s="74"/>
      <c r="D4" s="74"/>
      <c r="E4" s="74"/>
      <c r="F4" s="75"/>
    </row>
    <row r="5" spans="1:6" ht="162" customHeight="1" thickBot="1" x14ac:dyDescent="0.3">
      <c r="A5" s="15">
        <v>1</v>
      </c>
      <c r="B5" s="16" t="s">
        <v>51</v>
      </c>
      <c r="C5" s="17" t="s">
        <v>19</v>
      </c>
      <c r="D5" s="18">
        <v>5500</v>
      </c>
      <c r="E5" s="19">
        <v>122</v>
      </c>
      <c r="F5" s="20">
        <f t="shared" ref="F5" si="0">D5*E5</f>
        <v>671000</v>
      </c>
    </row>
    <row r="6" spans="1:6" ht="21" x14ac:dyDescent="0.25">
      <c r="A6" s="14"/>
      <c r="B6" s="76"/>
      <c r="C6" s="77"/>
      <c r="D6" s="77"/>
      <c r="E6" s="78"/>
      <c r="F6" s="21">
        <f>F5*1</f>
        <v>671000</v>
      </c>
    </row>
    <row r="7" spans="1:6" ht="21.75" thickBot="1" x14ac:dyDescent="0.3">
      <c r="A7" s="22"/>
      <c r="B7" s="23"/>
      <c r="C7" s="24"/>
      <c r="D7" s="25"/>
      <c r="E7" s="26"/>
      <c r="F7" s="27"/>
    </row>
    <row r="8" spans="1:6" ht="21.75" thickBot="1" x14ac:dyDescent="0.3">
      <c r="A8" s="28" t="s">
        <v>13</v>
      </c>
      <c r="B8" s="79" t="s">
        <v>21</v>
      </c>
      <c r="C8" s="80"/>
      <c r="D8" s="80"/>
      <c r="E8" s="80"/>
      <c r="F8" s="81"/>
    </row>
    <row r="9" spans="1:6" ht="168" x14ac:dyDescent="0.25">
      <c r="A9" s="29">
        <v>1</v>
      </c>
      <c r="B9" s="30" t="s">
        <v>22</v>
      </c>
      <c r="C9" s="31" t="s">
        <v>19</v>
      </c>
      <c r="D9" s="32">
        <v>9360</v>
      </c>
      <c r="E9" s="33">
        <v>210</v>
      </c>
      <c r="F9" s="34">
        <f t="shared" ref="F9:F23" si="1">D9*E9</f>
        <v>1965600</v>
      </c>
    </row>
    <row r="10" spans="1:6" ht="229.5" customHeight="1" x14ac:dyDescent="0.25">
      <c r="A10" s="35">
        <v>2</v>
      </c>
      <c r="B10" s="36" t="s">
        <v>50</v>
      </c>
      <c r="C10" s="37" t="s">
        <v>19</v>
      </c>
      <c r="D10" s="38">
        <v>2500</v>
      </c>
      <c r="E10" s="39">
        <v>185</v>
      </c>
      <c r="F10" s="40">
        <f>D10*E10</f>
        <v>462500</v>
      </c>
    </row>
    <row r="11" spans="1:6" ht="21.75" thickBot="1" x14ac:dyDescent="0.3">
      <c r="A11" s="41"/>
      <c r="B11" s="70"/>
      <c r="C11" s="71"/>
      <c r="D11" s="71"/>
      <c r="E11" s="72"/>
      <c r="F11" s="42">
        <f>F10+F9</f>
        <v>2428100</v>
      </c>
    </row>
    <row r="12" spans="1:6" ht="21.75" thickBot="1" x14ac:dyDescent="0.3">
      <c r="A12" s="22"/>
      <c r="B12" s="23"/>
      <c r="C12" s="24"/>
      <c r="D12" s="25"/>
      <c r="E12" s="26"/>
      <c r="F12" s="27"/>
    </row>
    <row r="13" spans="1:6" ht="21.75" thickBot="1" x14ac:dyDescent="0.3">
      <c r="A13" s="28" t="s">
        <v>14</v>
      </c>
      <c r="B13" s="79" t="s">
        <v>23</v>
      </c>
      <c r="C13" s="80"/>
      <c r="D13" s="80"/>
      <c r="E13" s="80"/>
      <c r="F13" s="81"/>
    </row>
    <row r="14" spans="1:6" ht="21" x14ac:dyDescent="0.25">
      <c r="A14" s="29">
        <v>1</v>
      </c>
      <c r="B14" s="30" t="s">
        <v>24</v>
      </c>
      <c r="C14" s="31" t="s">
        <v>25</v>
      </c>
      <c r="D14" s="32">
        <v>120</v>
      </c>
      <c r="E14" s="33">
        <v>750</v>
      </c>
      <c r="F14" s="34">
        <f t="shared" si="1"/>
        <v>90000</v>
      </c>
    </row>
    <row r="15" spans="1:6" ht="21" x14ac:dyDescent="0.25">
      <c r="A15" s="43">
        <v>2</v>
      </c>
      <c r="B15" s="44" t="s">
        <v>26</v>
      </c>
      <c r="C15" s="45" t="s">
        <v>25</v>
      </c>
      <c r="D15" s="46">
        <v>20</v>
      </c>
      <c r="E15" s="47">
        <v>5600</v>
      </c>
      <c r="F15" s="48">
        <f t="shared" si="1"/>
        <v>112000</v>
      </c>
    </row>
    <row r="16" spans="1:6" ht="42" x14ac:dyDescent="0.25">
      <c r="A16" s="43">
        <v>3</v>
      </c>
      <c r="B16" s="44" t="s">
        <v>27</v>
      </c>
      <c r="C16" s="45" t="s">
        <v>25</v>
      </c>
      <c r="D16" s="46">
        <v>40</v>
      </c>
      <c r="E16" s="47">
        <v>6700</v>
      </c>
      <c r="F16" s="48">
        <f t="shared" si="1"/>
        <v>268000</v>
      </c>
    </row>
    <row r="17" spans="1:6" ht="42" x14ac:dyDescent="0.25">
      <c r="A17" s="43">
        <v>4</v>
      </c>
      <c r="B17" s="44" t="s">
        <v>28</v>
      </c>
      <c r="C17" s="45" t="s">
        <v>29</v>
      </c>
      <c r="D17" s="46">
        <v>1</v>
      </c>
      <c r="E17" s="47">
        <v>350000</v>
      </c>
      <c r="F17" s="48">
        <f t="shared" si="1"/>
        <v>350000</v>
      </c>
    </row>
    <row r="18" spans="1:6" ht="126" x14ac:dyDescent="0.25">
      <c r="A18" s="43">
        <v>5</v>
      </c>
      <c r="B18" s="44" t="s">
        <v>30</v>
      </c>
      <c r="C18" s="45" t="s">
        <v>31</v>
      </c>
      <c r="D18" s="46">
        <v>24</v>
      </c>
      <c r="E18" s="47">
        <v>17500</v>
      </c>
      <c r="F18" s="48">
        <f t="shared" si="1"/>
        <v>420000</v>
      </c>
    </row>
    <row r="19" spans="1:6" ht="42" x14ac:dyDescent="0.25">
      <c r="A19" s="43">
        <v>6</v>
      </c>
      <c r="B19" s="44" t="s">
        <v>32</v>
      </c>
      <c r="C19" s="45" t="s">
        <v>33</v>
      </c>
      <c r="D19" s="46">
        <v>400</v>
      </c>
      <c r="E19" s="47">
        <v>1540</v>
      </c>
      <c r="F19" s="48">
        <f t="shared" si="1"/>
        <v>616000</v>
      </c>
    </row>
    <row r="20" spans="1:6" ht="42" x14ac:dyDescent="0.25">
      <c r="A20" s="43">
        <v>7</v>
      </c>
      <c r="B20" s="44" t="s">
        <v>34</v>
      </c>
      <c r="C20" s="45" t="s">
        <v>33</v>
      </c>
      <c r="D20" s="46">
        <v>410</v>
      </c>
      <c r="E20" s="47">
        <v>750</v>
      </c>
      <c r="F20" s="48">
        <f t="shared" si="1"/>
        <v>307500</v>
      </c>
    </row>
    <row r="21" spans="1:6" ht="399" x14ac:dyDescent="0.25">
      <c r="A21" s="43">
        <v>8</v>
      </c>
      <c r="B21" s="44" t="s">
        <v>35</v>
      </c>
      <c r="C21" s="45" t="s">
        <v>33</v>
      </c>
      <c r="D21" s="46">
        <v>510</v>
      </c>
      <c r="E21" s="47">
        <v>1450</v>
      </c>
      <c r="F21" s="48">
        <f t="shared" si="1"/>
        <v>739500</v>
      </c>
    </row>
    <row r="22" spans="1:6" ht="63" x14ac:dyDescent="0.25">
      <c r="A22" s="43">
        <v>9</v>
      </c>
      <c r="B22" s="44" t="s">
        <v>36</v>
      </c>
      <c r="C22" s="45" t="s">
        <v>33</v>
      </c>
      <c r="D22" s="46">
        <v>510</v>
      </c>
      <c r="E22" s="47">
        <v>380</v>
      </c>
      <c r="F22" s="48">
        <f t="shared" si="1"/>
        <v>193800</v>
      </c>
    </row>
    <row r="23" spans="1:6" ht="210" x14ac:dyDescent="0.25">
      <c r="A23" s="43">
        <v>10</v>
      </c>
      <c r="B23" s="44" t="s">
        <v>53</v>
      </c>
      <c r="C23" s="45" t="s">
        <v>29</v>
      </c>
      <c r="D23" s="46">
        <v>1</v>
      </c>
      <c r="E23" s="47">
        <v>750000</v>
      </c>
      <c r="F23" s="48">
        <f t="shared" si="1"/>
        <v>750000</v>
      </c>
    </row>
    <row r="24" spans="1:6" ht="21.75" thickBot="1" x14ac:dyDescent="0.3">
      <c r="A24" s="49"/>
      <c r="B24" s="70"/>
      <c r="C24" s="71"/>
      <c r="D24" s="71"/>
      <c r="E24" s="72"/>
      <c r="F24" s="42">
        <f>SUM(F14:F23)</f>
        <v>3846800</v>
      </c>
    </row>
    <row r="25" spans="1:6" ht="21" x14ac:dyDescent="0.25">
      <c r="A25" s="50"/>
      <c r="B25" s="30"/>
      <c r="C25" s="51"/>
      <c r="D25" s="52"/>
      <c r="E25" s="53"/>
      <c r="F25" s="54"/>
    </row>
    <row r="26" spans="1:6" ht="23.25" x14ac:dyDescent="0.25">
      <c r="A26" s="55"/>
      <c r="B26" s="56"/>
      <c r="C26" s="57"/>
      <c r="D26" s="58"/>
      <c r="E26" s="59" t="s">
        <v>37</v>
      </c>
      <c r="F26" s="60">
        <f>SUM(F24,F11,F6)</f>
        <v>6945900</v>
      </c>
    </row>
    <row r="27" spans="1:6" ht="23.25" x14ac:dyDescent="0.25">
      <c r="A27" s="55"/>
      <c r="B27" s="56"/>
      <c r="C27" s="57"/>
      <c r="D27" s="58"/>
      <c r="E27" s="59" t="s">
        <v>38</v>
      </c>
      <c r="F27" s="60">
        <f>F26*18%</f>
        <v>1250262</v>
      </c>
    </row>
    <row r="28" spans="1:6" ht="23.25" x14ac:dyDescent="0.25">
      <c r="A28" s="61"/>
      <c r="B28" s="62"/>
      <c r="C28" s="63"/>
      <c r="D28" s="64"/>
      <c r="E28" s="65" t="s">
        <v>12</v>
      </c>
      <c r="F28" s="66">
        <f>SUM(F26,F27)</f>
        <v>8196162</v>
      </c>
    </row>
    <row r="29" spans="1:6" x14ac:dyDescent="0.25">
      <c r="A29" s="67"/>
      <c r="B29" s="67"/>
      <c r="C29" s="67"/>
      <c r="D29" s="67"/>
      <c r="E29" s="67"/>
      <c r="F29" s="67"/>
    </row>
    <row r="30" spans="1:6" x14ac:dyDescent="0.25">
      <c r="A30" s="67"/>
      <c r="B30" s="67"/>
      <c r="C30" s="67"/>
      <c r="D30" s="67"/>
      <c r="E30" s="67"/>
      <c r="F30" s="67"/>
    </row>
    <row r="31" spans="1:6" ht="18.75" x14ac:dyDescent="0.3">
      <c r="A31" s="8" t="s">
        <v>39</v>
      </c>
      <c r="B31" s="8"/>
      <c r="C31" s="67"/>
      <c r="D31" s="67"/>
      <c r="E31" s="67"/>
      <c r="F31" s="67"/>
    </row>
    <row r="32" spans="1:6" ht="18.75" x14ac:dyDescent="0.3">
      <c r="A32" s="8" t="s">
        <v>49</v>
      </c>
      <c r="B32" s="8"/>
      <c r="C32" s="67"/>
      <c r="D32" s="67"/>
      <c r="E32" s="67"/>
      <c r="F32" s="67"/>
    </row>
    <row r="33" spans="1:6" ht="18.75" x14ac:dyDescent="0.3">
      <c r="A33" s="8" t="s">
        <v>40</v>
      </c>
      <c r="B33" s="8"/>
      <c r="C33" s="67"/>
      <c r="D33" s="67"/>
      <c r="E33" s="67"/>
      <c r="F33" s="67"/>
    </row>
    <row r="34" spans="1:6" ht="18.75" x14ac:dyDescent="0.3">
      <c r="A34" s="8" t="s">
        <v>41</v>
      </c>
      <c r="B34" s="8"/>
      <c r="C34" s="67"/>
      <c r="D34" s="67"/>
      <c r="E34" s="67"/>
      <c r="F34" s="67"/>
    </row>
    <row r="35" spans="1:6" ht="18.75" x14ac:dyDescent="0.3">
      <c r="A35" s="8" t="s">
        <v>42</v>
      </c>
      <c r="B35" s="8"/>
      <c r="C35" s="67"/>
      <c r="D35" s="67"/>
      <c r="E35" s="67"/>
      <c r="F35" s="67"/>
    </row>
    <row r="36" spans="1:6" ht="18.75" x14ac:dyDescent="0.3">
      <c r="A36" s="8" t="s">
        <v>43</v>
      </c>
      <c r="B36" s="8"/>
      <c r="C36" s="67"/>
      <c r="D36" s="67"/>
      <c r="E36" s="67"/>
      <c r="F36" s="67"/>
    </row>
    <row r="37" spans="1:6" ht="18.75" x14ac:dyDescent="0.3">
      <c r="A37" s="8"/>
      <c r="B37" s="8"/>
      <c r="C37" s="67"/>
      <c r="D37" s="67"/>
      <c r="E37" s="67"/>
      <c r="F37" s="67"/>
    </row>
    <row r="38" spans="1:6" ht="18.75" x14ac:dyDescent="0.3">
      <c r="A38" s="8" t="s">
        <v>44</v>
      </c>
      <c r="B38" s="8"/>
      <c r="C38" s="67"/>
      <c r="D38" s="67"/>
      <c r="E38" s="67"/>
      <c r="F38" s="67"/>
    </row>
    <row r="39" spans="1:6" ht="18.75" x14ac:dyDescent="0.3">
      <c r="A39" s="8" t="s">
        <v>45</v>
      </c>
      <c r="B39" s="8"/>
      <c r="C39" s="67"/>
      <c r="D39" s="67"/>
      <c r="E39" s="67"/>
      <c r="F39" s="67"/>
    </row>
    <row r="40" spans="1:6" ht="18.75" x14ac:dyDescent="0.3">
      <c r="A40" s="8" t="s">
        <v>46</v>
      </c>
      <c r="B40" s="8"/>
      <c r="C40" s="67"/>
      <c r="D40" s="67"/>
      <c r="E40" s="67"/>
      <c r="F40" s="67"/>
    </row>
    <row r="41" spans="1:6" ht="18.75" x14ac:dyDescent="0.3">
      <c r="A41" s="8" t="s">
        <v>47</v>
      </c>
      <c r="B41" s="8"/>
      <c r="C41" s="67"/>
      <c r="D41" s="67"/>
      <c r="E41" s="67"/>
      <c r="F41" s="67"/>
    </row>
    <row r="42" spans="1:6" ht="18.75" x14ac:dyDescent="0.3">
      <c r="A42" s="8" t="s">
        <v>48</v>
      </c>
      <c r="B42" s="8"/>
      <c r="C42" s="67"/>
      <c r="D42" s="67"/>
      <c r="E42" s="67"/>
      <c r="F42" s="67"/>
    </row>
    <row r="43" spans="1:6" x14ac:dyDescent="0.25">
      <c r="A43" s="67"/>
      <c r="B43" s="67"/>
      <c r="C43" s="67"/>
      <c r="D43" s="67"/>
      <c r="E43" s="67"/>
      <c r="F43" s="67"/>
    </row>
  </sheetData>
  <mergeCells count="7">
    <mergeCell ref="A1:F2"/>
    <mergeCell ref="B24:E24"/>
    <mergeCell ref="B4:F4"/>
    <mergeCell ref="B6:E6"/>
    <mergeCell ref="B8:F8"/>
    <mergeCell ref="B11:E11"/>
    <mergeCell ref="B13:F13"/>
  </mergeCells>
  <pageMargins left="0.70866141732283472" right="0.70866141732283472" top="0.74803149606299213" bottom="0.74803149606299213" header="0.31496062992125984" footer="0.31496062992125984"/>
  <pageSetup scale="39"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4:H16"/>
  <sheetViews>
    <sheetView workbookViewId="0">
      <selection activeCell="H16" sqref="H16"/>
    </sheetView>
  </sheetViews>
  <sheetFormatPr defaultColWidth="8.5703125" defaultRowHeight="15" x14ac:dyDescent="0.25"/>
  <cols>
    <col min="4" max="4" width="9.42578125" bestFit="1" customWidth="1"/>
    <col min="5" max="5" width="7.5703125" bestFit="1" customWidth="1"/>
    <col min="6" max="6" width="9.42578125" bestFit="1" customWidth="1"/>
    <col min="7" max="7" width="7.42578125" bestFit="1" customWidth="1"/>
  </cols>
  <sheetData>
    <row r="4" spans="4:8" x14ac:dyDescent="0.25">
      <c r="D4" s="3"/>
      <c r="E4" s="3" t="s">
        <v>1</v>
      </c>
      <c r="F4" s="3" t="s">
        <v>4</v>
      </c>
      <c r="G4" s="3" t="s">
        <v>0</v>
      </c>
    </row>
    <row r="5" spans="4:8" x14ac:dyDescent="0.25">
      <c r="D5" s="1" t="s">
        <v>8</v>
      </c>
      <c r="E5" s="6">
        <f>0.25*1*0.2</f>
        <v>0.05</v>
      </c>
      <c r="F5" s="1">
        <v>600</v>
      </c>
      <c r="G5" s="2">
        <f>E5*F5</f>
        <v>30</v>
      </c>
    </row>
    <row r="6" spans="4:8" x14ac:dyDescent="0.25">
      <c r="D6" s="1" t="s">
        <v>3</v>
      </c>
      <c r="E6" s="6">
        <f>0.25*0.075*1</f>
        <v>1.8749999999999999E-2</v>
      </c>
      <c r="F6" s="1">
        <v>6500</v>
      </c>
      <c r="G6" s="2">
        <f>E6*F6</f>
        <v>121.875</v>
      </c>
    </row>
    <row r="7" spans="4:8" x14ac:dyDescent="0.25">
      <c r="D7" s="1" t="s">
        <v>5</v>
      </c>
      <c r="E7" s="6">
        <f>1*0.15*0.2</f>
        <v>0.03</v>
      </c>
      <c r="F7" s="1">
        <v>6500</v>
      </c>
      <c r="G7" s="1">
        <f>E7*F7</f>
        <v>195</v>
      </c>
    </row>
    <row r="8" spans="4:8" x14ac:dyDescent="0.25">
      <c r="D8" s="1" t="s">
        <v>6</v>
      </c>
      <c r="E8" s="6">
        <f>1*0.15*0.075</f>
        <v>1.125E-2</v>
      </c>
      <c r="F8" s="1">
        <v>7000</v>
      </c>
      <c r="G8" s="2">
        <f>E8*F8</f>
        <v>78.75</v>
      </c>
    </row>
    <row r="9" spans="4:8" x14ac:dyDescent="0.25">
      <c r="D9" s="1" t="s">
        <v>7</v>
      </c>
      <c r="E9" s="6">
        <f>0.395</f>
        <v>0.39500000000000002</v>
      </c>
      <c r="F9" s="1">
        <v>100</v>
      </c>
      <c r="G9" s="2">
        <f>E9*F9</f>
        <v>39.5</v>
      </c>
    </row>
    <row r="10" spans="4:8" x14ac:dyDescent="0.25">
      <c r="D10" s="1"/>
      <c r="E10" s="1"/>
      <c r="F10" s="1"/>
      <c r="G10" s="2">
        <f>SUM(G5:G9)</f>
        <v>465.125</v>
      </c>
    </row>
    <row r="11" spans="4:8" x14ac:dyDescent="0.25">
      <c r="D11" s="1"/>
      <c r="E11" s="1"/>
      <c r="F11" s="5" t="s">
        <v>10</v>
      </c>
      <c r="G11" s="7">
        <f>G10*1.15</f>
        <v>534.89374999999995</v>
      </c>
    </row>
    <row r="12" spans="4:8" x14ac:dyDescent="0.25">
      <c r="D12" s="1"/>
      <c r="E12" s="1"/>
      <c r="F12" s="1"/>
      <c r="G12" s="2">
        <f>G10/3.28</f>
        <v>141.8064024390244</v>
      </c>
    </row>
    <row r="13" spans="4:8" x14ac:dyDescent="0.25">
      <c r="D13" s="4"/>
      <c r="E13" s="4"/>
      <c r="F13" s="5" t="s">
        <v>9</v>
      </c>
      <c r="G13" s="7">
        <f>G12*1.15</f>
        <v>163.07736280487805</v>
      </c>
    </row>
    <row r="15" spans="4:8" x14ac:dyDescent="0.25">
      <c r="G15">
        <f>400*3.28</f>
        <v>1312</v>
      </c>
    </row>
    <row r="16" spans="4:8" x14ac:dyDescent="0.25">
      <c r="G16">
        <f>G15*G13</f>
        <v>213957.5</v>
      </c>
      <c r="H16">
        <f>G15*510</f>
        <v>669120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Sharath Gowda</dc:creator>
  <cp:lastModifiedBy>Santanu Bose</cp:lastModifiedBy>
  <cp:lastPrinted>2026-04-27T00:57:25Z</cp:lastPrinted>
  <dcterms:created xsi:type="dcterms:W3CDTF">2015-06-05T18:17:20Z</dcterms:created>
  <dcterms:modified xsi:type="dcterms:W3CDTF">2026-07-06T04:56:46Z</dcterms:modified>
</cp:coreProperties>
</file>