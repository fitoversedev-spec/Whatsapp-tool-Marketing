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Santanu Bose\Desktop\"/>
    </mc:Choice>
  </mc:AlternateContent>
  <xr:revisionPtr revIDLastSave="0" documentId="13_ncr:1_{B874915D-EF85-49EC-BE22-8C606E217BF0}" xr6:coauthVersionLast="36" xr6:coauthVersionMax="47" xr10:uidLastSave="{00000000-0000-0000-0000-000000000000}"/>
  <bookViews>
    <workbookView xWindow="-105" yWindow="-105" windowWidth="19425" windowHeight="10305" tabRatio="562" xr2:uid="{00000000-000D-0000-FFFF-FFFF00000000}"/>
  </bookViews>
  <sheets>
    <sheet name="basketball" sheetId="13" r:id="rId1"/>
    <sheet name="TENNIS" sheetId="18" r:id="rId2"/>
    <sheet name="VOLLEYBALL" sheetId="8" r:id="rId3"/>
    <sheet name="FOOTBALL" sheetId="19" r:id="rId4"/>
    <sheet name="CRICKET (2)" sheetId="16" r:id="rId5"/>
    <sheet name="Sheet1" sheetId="5" state="hidden"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6" i="19" l="1"/>
  <c r="F24" i="19"/>
  <c r="F20" i="19"/>
  <c r="F19" i="19"/>
  <c r="F16" i="19"/>
  <c r="F13" i="19"/>
  <c r="F9" i="19"/>
  <c r="F8" i="19"/>
  <c r="F7" i="19"/>
  <c r="F6" i="19"/>
  <c r="F5" i="19"/>
  <c r="F4" i="19"/>
  <c r="G21" i="13"/>
  <c r="E19" i="13"/>
  <c r="G19" i="13" s="1"/>
  <c r="G17" i="13"/>
  <c r="G15" i="13"/>
  <c r="G13" i="13"/>
  <c r="G11" i="13"/>
  <c r="G10" i="13"/>
  <c r="G9" i="13"/>
  <c r="G8" i="13"/>
  <c r="G7" i="13"/>
  <c r="G5" i="13"/>
  <c r="G21" i="18"/>
  <c r="E19" i="18"/>
  <c r="G19" i="18" s="1"/>
  <c r="G17" i="18"/>
  <c r="G15" i="18"/>
  <c r="G13" i="18"/>
  <c r="G11" i="18"/>
  <c r="G10" i="18"/>
  <c r="G9" i="18"/>
  <c r="G8" i="18"/>
  <c r="G7" i="18"/>
  <c r="G5" i="18"/>
  <c r="F27" i="19" l="1"/>
  <c r="F28" i="19" s="1"/>
  <c r="F29" i="19" s="1"/>
  <c r="G24" i="13"/>
  <c r="G24" i="18"/>
  <c r="F25" i="16"/>
  <c r="F22" i="16"/>
  <c r="F21" i="16"/>
  <c r="F18" i="16"/>
  <c r="F15" i="16"/>
  <c r="F28" i="16" s="1"/>
  <c r="F12" i="16"/>
  <c r="F10" i="16"/>
  <c r="F9" i="16"/>
  <c r="F8" i="16"/>
  <c r="F7" i="16"/>
  <c r="F6" i="16"/>
  <c r="F10" i="8"/>
  <c r="F9" i="8"/>
  <c r="F8" i="8"/>
  <c r="F7" i="8"/>
  <c r="F6" i="8"/>
  <c r="G25" i="13" l="1"/>
  <c r="G26" i="13" s="1"/>
  <c r="G25" i="18"/>
  <c r="G26" i="18" s="1"/>
  <c r="F29" i="16"/>
  <c r="F30" i="16" s="1"/>
  <c r="F23" i="8" l="1"/>
  <c r="F13" i="8"/>
  <c r="F26" i="8" l="1"/>
  <c r="F22" i="8"/>
  <c r="F19" i="8"/>
  <c r="F16" i="8"/>
  <c r="F29" i="8" l="1"/>
  <c r="F30" i="8" s="1"/>
  <c r="F31" i="8" s="1"/>
  <c r="G15" i="5" l="1"/>
  <c r="H16" i="5" s="1"/>
  <c r="E5" i="5"/>
  <c r="G5" i="5" s="1"/>
  <c r="E9" i="5"/>
  <c r="G9" i="5" s="1"/>
  <c r="E8" i="5"/>
  <c r="G8" i="5" s="1"/>
  <c r="E7" i="5"/>
  <c r="G7" i="5" s="1"/>
  <c r="E6" i="5"/>
  <c r="G6" i="5" s="1"/>
  <c r="G10" i="5" l="1"/>
  <c r="G12" i="5" l="1"/>
  <c r="G13" i="5" s="1"/>
  <c r="G16" i="5" s="1"/>
  <c r="G11" i="5"/>
</calcChain>
</file>

<file path=xl/sharedStrings.xml><?xml version="1.0" encoding="utf-8"?>
<sst xmlns="http://schemas.openxmlformats.org/spreadsheetml/2006/main" count="270" uniqueCount="121">
  <si>
    <t>Amount</t>
  </si>
  <si>
    <t>Grand Total</t>
  </si>
  <si>
    <t>SN</t>
  </si>
  <si>
    <t>Particulars</t>
  </si>
  <si>
    <t>QTY</t>
  </si>
  <si>
    <t>Unit</t>
  </si>
  <si>
    <t>RATE</t>
  </si>
  <si>
    <t>GST @18%</t>
  </si>
  <si>
    <t>PCC</t>
  </si>
  <si>
    <t>Rate</t>
  </si>
  <si>
    <t>BlockWork</t>
  </si>
  <si>
    <t>Coping</t>
  </si>
  <si>
    <t>Steel</t>
  </si>
  <si>
    <t>Exc</t>
  </si>
  <si>
    <t>RATE/RFT</t>
  </si>
  <si>
    <t>RATE/RMT</t>
  </si>
  <si>
    <t xml:space="preserve">NAME: </t>
  </si>
  <si>
    <t>Date :</t>
  </si>
  <si>
    <t>SQFT</t>
  </si>
  <si>
    <t>D</t>
  </si>
  <si>
    <t>E</t>
  </si>
  <si>
    <t>RFT</t>
  </si>
  <si>
    <t>B</t>
  </si>
  <si>
    <t>FABRICATION</t>
  </si>
  <si>
    <t>C</t>
  </si>
  <si>
    <t>GARWARE SPORTS NETS</t>
  </si>
  <si>
    <t>LED LIGHTS</t>
  </si>
  <si>
    <t>NOS</t>
  </si>
  <si>
    <t xml:space="preserve">TOTAL </t>
  </si>
  <si>
    <t>Terms &amp; Conditions: -</t>
  </si>
  <si>
    <t>a) Transport Shall be charged extra as actual.</t>
  </si>
  <si>
    <t>b) Lockable storage for material at site shall be provided by client without any charge.</t>
  </si>
  <si>
    <t>from misuse, vandalism, or natural calamities.</t>
  </si>
  <si>
    <t>d) Site must be ready, clean, and levelled. Client to provide power, water, and handling support.</t>
  </si>
  <si>
    <t>e) Exclusions / Client’s Scope: :</t>
  </si>
  <si>
    <t>• Electrical power connection up to the court area. ( Mian line connection )</t>
  </si>
  <si>
    <t>• Unloading, shifting, and storage at the project site.</t>
  </si>
  <si>
    <t>• Scaffolding, lifting equipment, or crane (if required).</t>
  </si>
  <si>
    <t>A1</t>
  </si>
  <si>
    <t>A2</t>
  </si>
  <si>
    <t>TOE WALL</t>
  </si>
  <si>
    <t xml:space="preserve">Side Garware Nets 50mm x 50mm x 2.5mm INSTALLATION with Dodge clips, hooks, Steel wire ropes and all required accessories included </t>
  </si>
  <si>
    <t>DRAIN</t>
  </si>
  <si>
    <t>•	Vertical Pipe 3"x 3" x 3 mm thick
•	Horizontal pipe 2" x 2" x 2mm thick
•	Entry gate
•	MS- Poles with Base plates
•	Color &amp; Painting fabrication
Area calculation: 15FT Height</t>
  </si>
  <si>
    <t xml:space="preserve">Top nets Garware Nets 25mm x 25mm x 1.5mm INSTALLATION with Dodge clips, hooks, Steel wire ropes and all required accessories included </t>
  </si>
  <si>
    <t xml:space="preserve">Side Garware Nets 35mm x 35mm x 2.5mm INSTALLATION with Dodge clips, hooks, Steel wire ropes and all required accessories included </t>
  </si>
  <si>
    <t>c) Warranty: Structure: 5 years; Turf: 3 years; ACRYLIC : 2 years; Lighting: 2 years. Warranty excludes damage</t>
  </si>
  <si>
    <t>Payment Terms: 50% advance with work order,20% on completion on sub base works, 20% on delivery of material at site, 10% on installation.</t>
  </si>
  <si>
    <t>PCC SUB BASE</t>
  </si>
  <si>
    <t>Removal of grass and levelling. Providing and laying 100mm
compacted thickness Ready Mix Cement concrete in M- 20 grade for
bed blocks, foundation blocks and such other items includng bailing
out water. Steel certering to be used (Wooden centering will not be
allowed); pumping, compacting, roughening the surface if special
finish is to be provieded, curing etc complete. Cement Mortar 1:3
plaster is considering for rendering
uneven surface only.</t>
  </si>
  <si>
    <t>Supply and installation of ITF quality and quality PRO sports artificial turf having pile height of 13mm,  Stitch Rate - 320/m, Dtex - 6600, Gauge - 1/4 inch, Density - 40950 Switch, Coating - Latex, Yarn - PE Curly , Backing - 3 Layered ( PP, Fleece &amp; Net )•	European Seam tape &amp; European turf glue</t>
  </si>
  <si>
    <t>•	Vertical Pipe 3"x 3" x 3 mm thick
•	Horizontal pipe 2" x 2" x 2mm thick
•	Entry gate
•	MS- Poles with Base plates
•	Color &amp; Painting fabrication
Area calculation: 25FT Height</t>
  </si>
  <si>
    <t>GROUND PREPARATION</t>
  </si>
  <si>
    <t>Chemical Treatment of the entire area to make the land infertile and this will be done manually by spraying of required chemicals</t>
  </si>
  <si>
    <t xml:space="preserve">EXCAVATION: Preparation of subgrade by excavating earth to an average of 22.5 cm depth, dressing to camber and consolidation including making good the undulation etc. </t>
  </si>
  <si>
    <t>GRADING / SLOPING : Shaping the ground to the desired shape by giving a minimum slope of &lt;/= 0.2% lateral gradient  towards the drain lines</t>
  </si>
  <si>
    <t>COMPACTION: Compaction of original ground with maximum of 6 passes of 8 to 10 tones Road Roller/Power Vibratory Roller to an ideal level of Proctor 98% including filling in depression occurring during rolling including cost of all labour, HOM of machinery complete as per specifications.</t>
  </si>
  <si>
    <t>CUM</t>
  </si>
  <si>
    <t>DISPOSAL : Removing the excavated stuff to a distance not exceeding 50m and lift up to1.5m excavated surface levelled and neatly dressed, disposed earth to be levelled after breaking clods and neatly dressed as per specifications. All excess material shall be removedand kept near site only</t>
  </si>
  <si>
    <t>CRICKET PITCH 10FT X 82FT X 3NOS</t>
  </si>
  <si>
    <t xml:space="preserve">Top nets Garware Nets 35mm x 35mm x 2.5mm INSTALLATION with Dodge clips, hooks, Steel wire ropes and all required accessories included </t>
  </si>
  <si>
    <t>Supply &amp; Installation of 200 Watts Led Lights for cricket ground. Qty - 12 Nos, One double door weather proof distribution board with MS Sheet, Earthing Electrode, full wiring from distribution board to poles and to fixtures
complete</t>
  </si>
  <si>
    <t xml:space="preserve">SPORTS FLOORING - 13MM Cricket turf </t>
  </si>
  <si>
    <t xml:space="preserve">SPORTS FLOORING - 50M FIFA certified turf </t>
  </si>
  <si>
    <t xml:space="preserve">VOLLEYBALL + THROWBALL COURT 78FT X 52FT </t>
  </si>
  <si>
    <t>Supply and installation of FIFA quality and quality PRO sports artificial turf having pile height of 50 mm Football Turf, Pile Height -50 mm, Pile Length - 50 mm , Tuft Gauge - 5/8 ", TUFTS/M - 140, TUFTS/M2 - 8850, Filaments/M2 - 106200, Pile Weight - g/m2 - 1530, Filament Type - Monofilament Straight, Filament Composition - 100 % PE , UV Stabilized, Filament Thickness - 375, Yarn DTEX /PLY - 16000/6, Filament Width mm 1,1. Backing Construction - Multilayer Interlaced stabilized Fabric 100 % PP, UV Stabilized, Coating - Polyurethane / Sport , Turf Weight - 2455 grams , Turf Height - 50mm , Colours  Field of Play - Biocolour Green, Line Marking - White &amp; Yellow on Request, Quality Turf Withdrawl Force 50 N, Turf Strength (warp and weft) N/100m, Joint Strength (Direct) - 2500 N/100 mm, Water Permeability - 2000, Application - Football,Volleyball , Throwball. Certification - FIFA, World Rugby, KVNB, NORDIC</t>
  </si>
  <si>
    <t>BILL OF QUANTITY FOR TENNIS COURT -1 nos</t>
  </si>
  <si>
    <t xml:space="preserve"> Area -  120FT X 60FT (7200 SQFT) </t>
  </si>
  <si>
    <r>
      <t>S</t>
    </r>
    <r>
      <rPr>
        <b/>
        <i/>
        <sz val="12"/>
        <color theme="1"/>
        <rFont val="Calibri"/>
        <family val="2"/>
        <scheme val="minor"/>
      </rPr>
      <t>r.</t>
    </r>
    <r>
      <rPr>
        <b/>
        <sz val="12"/>
        <color theme="1"/>
        <rFont val="Calibri"/>
        <family val="2"/>
        <scheme val="minor"/>
      </rPr>
      <t xml:space="preserve"> No.</t>
    </r>
  </si>
  <si>
    <t>Item Details</t>
  </si>
  <si>
    <t>Detail Description of Scope of Work</t>
  </si>
  <si>
    <t>Qty</t>
  </si>
  <si>
    <t>Unit Price in INR</t>
  </si>
  <si>
    <t>Total Amount in INR</t>
  </si>
  <si>
    <t>CHEMICAL TREATMENT</t>
  </si>
  <si>
    <t>SUB-BASE PREPARATION</t>
  </si>
  <si>
    <t>EXCAVATION</t>
  </si>
  <si>
    <t xml:space="preserve">Preparation of subgrade by excavating earth to an average of 22.5 cm depth, dressing to camber and consolidation including making good the undulation etc. </t>
  </si>
  <si>
    <t>GRADING / SLOPING</t>
  </si>
  <si>
    <t>Shaping the ground to the desired shape by giving a minimum slope of &lt;/= 0.2% lateral gradient  towards the drain lines</t>
  </si>
  <si>
    <t>COMPACTION</t>
  </si>
  <si>
    <r>
      <t xml:space="preserve">Compaction of original ground with maximum of 6 passes of 8 to 10 tones </t>
    </r>
    <r>
      <rPr>
        <b/>
        <sz val="11"/>
        <color theme="1"/>
        <rFont val="Calibri"/>
        <family val="2"/>
        <scheme val="minor"/>
      </rPr>
      <t>Road Roller</t>
    </r>
    <r>
      <rPr>
        <sz val="11"/>
        <color theme="1"/>
        <rFont val="Calibri"/>
        <family val="2"/>
        <scheme val="minor"/>
      </rPr>
      <t>/</t>
    </r>
    <r>
      <rPr>
        <b/>
        <sz val="11"/>
        <color theme="1"/>
        <rFont val="Calibri"/>
        <family val="2"/>
        <scheme val="minor"/>
      </rPr>
      <t>Power Vibratory Roller</t>
    </r>
    <r>
      <rPr>
        <sz val="11"/>
        <color theme="1"/>
        <rFont val="Calibri"/>
        <family val="2"/>
        <scheme val="minor"/>
      </rPr>
      <t xml:space="preserve"> to an ideal level of Proctor 98% including filling in depression occurring during rolling including cost of all labour, HOM of machinery complete as per specifications.</t>
    </r>
  </si>
  <si>
    <t>ASPHALT</t>
  </si>
  <si>
    <t>Supply all labor, materials, and specialized equipment required for the construction of a standard bitumen-based (asphalt) tennis court. The scope of work includes:
Foundation: Installation of a 100mm thick graded crushed stone base using Well-Graded Wet Mix Macadam (WMM), laid and compacted in layers to ensure a stable, well-drained foundation.
Asphalt Base: Application of a 50mm thick hot-mix asphaltic concrete surface (combined thickness), comprising a 30mm Bituminous Macadam (BM) binder course and a 20mm fine-graded Bituminous Concrete (BC) wearing course.
Grading: All layers are to be laid with a precision 1:100 (1%) cross-fall slope to ensure efficient surface water drainage and prevent ponding.
Finish: The final surface must be smooth, uniform, and prepared for the application of specialized acrylic sports surfacing</t>
  </si>
  <si>
    <t>Construction of Toe wall surrounding the court on 2 sides. Cost to include painting the exposed surface with cement, paint in two coats coats.</t>
  </si>
  <si>
    <t>DRAINAGE SYSTEM</t>
  </si>
  <si>
    <t>Construction of 6" open saucer drain with MS jali cover</t>
  </si>
  <si>
    <t>RM</t>
  </si>
  <si>
    <t>ACRYLIC SPORTS SURFACE - ITF APPROVED</t>
  </si>
  <si>
    <t>8 LAYER ACRYLIC</t>
  </si>
  <si>
    <t xml:space="preserve">SUPPLY AND INSTALATION OF PACECOURT Acrylic Coating of Standard synthetic surface 8 Layers international standards Certified by International Tennis Federation (ITF) , Latex cushioned (with step system) 8 layers , including international standard marking, inclusive of the 
Primer x 1 Layer
Resurfacer( Asphalt transformer) x 3 Layer
Cushion x 2 Layer
Colour x 2 Layer  </t>
  </si>
  <si>
    <t>ACCESSORIES</t>
  </si>
  <si>
    <t>TENNS FIXED POST</t>
  </si>
  <si>
    <t>Supply and fixing of fixed type Tennis post with brass rachet with proper
foundation of 450mm x 450mm x 450mm below the floor level with suitable nets
and centre tape.</t>
  </si>
  <si>
    <t>set</t>
  </si>
  <si>
    <t>CHAIN LINK FENCE</t>
  </si>
  <si>
    <t>Providing, placing and fixing in position in true line and level approved fencing will be made of MS pipe 50mmx 50mm and 12ft height erected on cement concrete foundation 2ft below ground level.  MS Pipe will be painted with 1 coat of Red Oxide and 2 coats of standard Oil Paint.  There will be a tie of MS pipe of 35mm dia at top and bottom of the fencing throughout the periphery.  There will be a provision of one door.  The Chain Link Fence will be made of 12gauge galvanized wire of 50mm x 50mm.</t>
  </si>
  <si>
    <t>LED FIXTURES</t>
  </si>
  <si>
    <t>Supply &amp; Installation of 150 Watts Led Lights for Cricket ground. Qty - 12 Nos, One double door weather proof distribution board with MS Sheet, Earthing Electrode, full wiring from distribution board to poles and to fixtures
complete</t>
  </si>
  <si>
    <t>BASIC TOTAL</t>
  </si>
  <si>
    <t>GST</t>
  </si>
  <si>
    <t>GROSS TOTAL</t>
  </si>
  <si>
    <t xml:space="preserve"> Transport Shall be charged extra as actual.</t>
  </si>
  <si>
    <t xml:space="preserve"> Site must be ready, clean, and levelled. Client to provide power, water, and handling support.</t>
  </si>
  <si>
    <t>BILL OF QUANTITY FOR BASKETBALL COURT -1 nos</t>
  </si>
  <si>
    <t xml:space="preserve"> Area -  100FT X 60FT (6000 SQFT) </t>
  </si>
  <si>
    <t>PAIR</t>
  </si>
  <si>
    <t>Supply and installation of BASKETBALL POST-FIXED BASKET BALL POST "*Pole will Made 17
CM (6"") Round Pipe *Available 1Mtr Extn as per requirement *Acrylic Board Thickness - 20 MM (Imported Quality), Size of Board - 180cm x 105cm *Dunking Ring *Quality Net, *Epoxy Painted"</t>
  </si>
  <si>
    <t>DYNAMIC AGGREGATE BASE</t>
  </si>
  <si>
    <t>Compaction of original ground with maximum of 6 passes of 8 to 10 tones Power Vibratory Roller to an ideal level of Proctor 98% including filling in depression occurring during rolling including cost of all labour, HOM of machinery complete as per specifications.</t>
  </si>
  <si>
    <t>Preparation of Trench for laying the perforated PVC Pipes for sub-surface drainage including dressing, sloping and consilidation</t>
  </si>
  <si>
    <t>Supply and fixing of Perforated PVC Pipes of 300mm dia along the lateral sides of the ground in a Fish Bone Structure with end caps and couplers to join the pipes. The perforated pvc pipes are to be covered with min 200 GSM Geo-textile</t>
  </si>
  <si>
    <t>Providing and laying of 300 GSM non woven Geo-textile manufactured from high quality Propylene staple fibers on the prepared sub-grade withan overlap of minimum 300mm and an extra overlap at the edges with min 300mmincludingallwastageetc. EachrolloftheGeo-textileshouldbeof min 3.8m width and length covering the entire width of the ground.</t>
  </si>
  <si>
    <t>Providing and laying of aggregates 40mm size trap metal in 200mm compacted thickness. Compaction with 8-10 tons Power Vibratory Roller including watering during compaction etc all complete
Providing and laying of aggregates 20mm size trap metal in 150mm compacted thickness. Compaction with 8-10 tons Power Vibratory Roller including watering during compaction etc all complete
Providing and laying of aggregates of a mix of 10mm and 6mm size trap metal in 100mm compacted thickness. Compaction with 8-10 tons Power Vibratory Roller including watering during compaction etc all complete</t>
  </si>
  <si>
    <t xml:space="preserve">SPORTS FLOORING - 50MM Football turf </t>
  </si>
  <si>
    <t>Supply and installation of FIFA quality and quality PRO sports artificial turf having pile height of 50mm Football Turf, Tuft Gauge - 5/8 ", TUFTS/M - 140, TUFTS/M2 - 8850, Filaments/M2 - 106200, Pile Weight - g/m2 - 1530, Filament Type - Monofilament Straight, Filament Composition - 100 % PE , UV Stabilized, Filament Thickness - 375, Yarn DTEX /PLY - 16000, Filament Width mm 1,1. Backing Construction - Multilayer Interlaced stabilized Fabric 100 % PP, UV Stabilized, Coating - Polyurethane / Sport , Turf Weight - 2455 grams , Turf Height - 50 +-2 , Colours Field of Play - Biocolour Green, Line Marking - White &amp; Yellow on Request, Quality Turf Withdrawl Force 50 N, Turf Strength (warp and weft) N/100m, Joint Strength (Direct) - 2500 N/100 mm, Water Permeability - 2000.</t>
  </si>
  <si>
    <t>•	Vertical Pipe 3"x 3" x 3 mm thick
•	Horizontal pipe 2" x 2" x 2mm thick
•	Entry gate
•	MS- Poles with Base plates
•	Color &amp; Painting fabrication
Area calculation: 25ft Height</t>
  </si>
  <si>
    <t xml:space="preserve">Garware Sports Top Nets 25mm x 25mm X 1.5MM installation with Dodge clips, hooks, Steel wire ropes and all required accessories included </t>
  </si>
  <si>
    <t>Side Garware Nets 50mm x 50mm x 2.5mm</t>
  </si>
  <si>
    <t>Supply &amp; Installation of 150 Watts Led Lights for futsal ground. Qty - 16 Nos, One double door weather proof distribution board with MS Sheet, Earthing Electrode, full wiring from distribution board to poles and to fixtures
complete</t>
  </si>
  <si>
    <t>AGGREGTE SUB BASE FOOTBALL FIELD QUOTATION 120FT X 70FT ( 8400 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</si>
</sst>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0.0000"/>
    <numFmt numFmtId="166" formatCode="_ [$₹-4009]\ * #,##0.00_ ;_ [$₹-4009]\ * \-#,##0.00_ ;_ [$₹-4009]\ * &quot;-&quot;??_ ;_ @_ "/>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Franklin Gothic Book"/>
      <family val="2"/>
    </font>
    <font>
      <b/>
      <sz val="11"/>
      <color indexed="9"/>
      <name val="Calibri"/>
      <family val="2"/>
    </font>
    <font>
      <sz val="10"/>
      <name val="Arial"/>
      <family val="2"/>
    </font>
    <font>
      <sz val="11"/>
      <color theme="3" tint="-0.499984740745262"/>
      <name val="Calibri"/>
      <family val="2"/>
      <scheme val="minor"/>
    </font>
    <font>
      <b/>
      <u/>
      <sz val="12"/>
      <color theme="3" tint="-0.499984740745262"/>
      <name val="Calibri"/>
      <family val="2"/>
      <scheme val="minor"/>
    </font>
    <font>
      <sz val="12"/>
      <color theme="3" tint="-0.499984740745262"/>
      <name val="Calibri"/>
      <family val="2"/>
      <scheme val="minor"/>
    </font>
    <font>
      <b/>
      <sz val="12"/>
      <color theme="3" tint="-0.499984740745262"/>
      <name val="Calibri"/>
      <family val="2"/>
      <scheme val="minor"/>
    </font>
    <font>
      <b/>
      <u/>
      <sz val="10"/>
      <color rgb="FFFF0000"/>
      <name val="Tahoma Bold"/>
    </font>
    <font>
      <sz val="10"/>
      <color theme="1"/>
      <name val="Tahoma Bold"/>
    </font>
    <font>
      <sz val="12"/>
      <color theme="1"/>
      <name val="Tahoma Bold"/>
    </font>
    <font>
      <b/>
      <sz val="10"/>
      <color rgb="FFFF0000"/>
      <name val="Tahoma Bold"/>
    </font>
    <font>
      <sz val="10"/>
      <color rgb="FFFF0000"/>
      <name val="Tahoma Bold"/>
    </font>
    <font>
      <b/>
      <sz val="14"/>
      <color theme="1"/>
      <name val="Calibri"/>
      <family val="2"/>
      <scheme val="minor"/>
    </font>
    <font>
      <b/>
      <sz val="12"/>
      <color theme="1"/>
      <name val="Calibri"/>
      <family val="2"/>
      <scheme val="minor"/>
    </font>
    <font>
      <b/>
      <i/>
      <sz val="12"/>
      <color theme="1"/>
      <name val="Calibri"/>
      <family val="2"/>
      <scheme val="minor"/>
    </font>
    <font>
      <sz val="11"/>
      <name val="Calibri"/>
      <family val="2"/>
      <scheme val="minor"/>
    </font>
    <font>
      <sz val="10.5"/>
      <color theme="1"/>
      <name val="Arial"/>
      <family val="2"/>
    </font>
    <font>
      <sz val="12"/>
      <color theme="1"/>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indexed="55"/>
      </patternFill>
    </fill>
    <fill>
      <patternFill patternType="solid">
        <fgColor theme="5"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BDD7EE"/>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8">
    <xf numFmtId="0" fontId="0" fillId="0" borderId="0"/>
    <xf numFmtId="164" fontId="1" fillId="0" borderId="0" applyFont="0" applyFill="0" applyBorder="0" applyAlignment="0" applyProtection="0"/>
    <xf numFmtId="0" fontId="3" fillId="0" borderId="0"/>
    <xf numFmtId="0" fontId="4" fillId="3" borderId="2">
      <alignment vertical="top"/>
      <protection locked="0"/>
    </xf>
    <xf numFmtId="0" fontId="5" fillId="0" borderId="0">
      <protection locked="0"/>
    </xf>
    <xf numFmtId="0" fontId="1" fillId="0" borderId="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157">
    <xf numFmtId="0" fontId="0" fillId="0" borderId="0" xfId="0"/>
    <xf numFmtId="0" fontId="0" fillId="0" borderId="1" xfId="0" applyBorder="1"/>
    <xf numFmtId="1" fontId="0" fillId="0" borderId="1" xfId="0" applyNumberFormat="1" applyBorder="1"/>
    <xf numFmtId="0" fontId="2" fillId="5" borderId="1" xfId="0" applyFont="1" applyFill="1" applyBorder="1" applyAlignment="1">
      <alignment horizontal="center" vertical="center"/>
    </xf>
    <xf numFmtId="0" fontId="0" fillId="6" borderId="1" xfId="0" applyFill="1" applyBorder="1"/>
    <xf numFmtId="0" fontId="2" fillId="6" borderId="1" xfId="0" applyFont="1" applyFill="1" applyBorder="1"/>
    <xf numFmtId="165" fontId="0" fillId="0" borderId="1" xfId="0" applyNumberFormat="1" applyBorder="1" applyAlignment="1">
      <alignment horizontal="right"/>
    </xf>
    <xf numFmtId="1" fontId="2" fillId="6" borderId="1" xfId="0" applyNumberFormat="1" applyFont="1" applyFill="1" applyBorder="1"/>
    <xf numFmtId="0" fontId="6" fillId="0" borderId="0" xfId="0" applyFont="1" applyAlignment="1">
      <alignment vertical="top"/>
    </xf>
    <xf numFmtId="0" fontId="7" fillId="0" borderId="1" xfId="0" applyFont="1" applyBorder="1" applyAlignment="1">
      <alignment horizontal="center" vertical="center" wrapText="1"/>
    </xf>
    <xf numFmtId="0" fontId="8" fillId="0" borderId="1" xfId="0" applyFont="1" applyBorder="1" applyAlignment="1">
      <alignment horizontal="left" vertical="top" wrapText="1"/>
    </xf>
    <xf numFmtId="0" fontId="8" fillId="4" borderId="1" xfId="0" applyFont="1" applyFill="1" applyBorder="1" applyAlignment="1">
      <alignment horizontal="center" vertical="top" wrapText="1"/>
    </xf>
    <xf numFmtId="0" fontId="8" fillId="4" borderId="1" xfId="0" applyFont="1" applyFill="1" applyBorder="1" applyAlignment="1">
      <alignment horizontal="left" vertical="top" wrapText="1"/>
    </xf>
    <xf numFmtId="2" fontId="9" fillId="2" borderId="1" xfId="0" applyNumberFormat="1" applyFont="1" applyFill="1" applyBorder="1" applyAlignment="1">
      <alignment horizontal="center" vertical="top"/>
    </xf>
    <xf numFmtId="164" fontId="9" fillId="2" borderId="1" xfId="1" applyFont="1" applyFill="1" applyBorder="1" applyAlignment="1">
      <alignment horizontal="center" vertical="top"/>
    </xf>
    <xf numFmtId="1" fontId="8" fillId="4" borderId="1" xfId="0" applyNumberFormat="1" applyFont="1" applyFill="1" applyBorder="1" applyAlignment="1">
      <alignment horizontal="center" vertical="top" wrapText="1"/>
    </xf>
    <xf numFmtId="1" fontId="8" fillId="0" borderId="1" xfId="0" applyNumberFormat="1" applyFont="1" applyBorder="1" applyAlignment="1">
      <alignment horizontal="center" vertical="center"/>
    </xf>
    <xf numFmtId="1" fontId="9" fillId="2" borderId="1" xfId="0" applyNumberFormat="1" applyFont="1" applyFill="1" applyBorder="1" applyAlignment="1">
      <alignment horizontal="center" vertical="top"/>
    </xf>
    <xf numFmtId="1" fontId="9" fillId="2" borderId="1" xfId="1" applyNumberFormat="1" applyFont="1" applyFill="1" applyBorder="1" applyAlignment="1">
      <alignment horizontal="center" vertical="top"/>
    </xf>
    <xf numFmtId="0" fontId="6" fillId="0" borderId="0" xfId="0" applyFont="1" applyAlignment="1">
      <alignment horizontal="center" vertical="top"/>
    </xf>
    <xf numFmtId="164" fontId="6" fillId="0" borderId="0" xfId="1" applyFont="1" applyAlignment="1">
      <alignment horizontal="center" vertical="center"/>
    </xf>
    <xf numFmtId="0" fontId="7" fillId="0" borderId="3" xfId="0" applyFont="1" applyBorder="1" applyAlignment="1">
      <alignment horizontal="center" vertical="center" wrapText="1"/>
    </xf>
    <xf numFmtId="164" fontId="7" fillId="0" borderId="4" xfId="1" applyFont="1" applyFill="1" applyBorder="1" applyAlignment="1">
      <alignment horizontal="center" vertical="center" wrapText="1"/>
    </xf>
    <xf numFmtId="0" fontId="8" fillId="0" borderId="3" xfId="0" applyFont="1" applyBorder="1" applyAlignment="1">
      <alignment horizontal="center" vertical="top" wrapText="1"/>
    </xf>
    <xf numFmtId="164" fontId="8" fillId="0" borderId="4" xfId="1" applyFont="1" applyBorder="1" applyAlignment="1">
      <alignment horizontal="center" vertical="center"/>
    </xf>
    <xf numFmtId="0" fontId="8" fillId="4" borderId="3" xfId="0" applyFont="1" applyFill="1" applyBorder="1" applyAlignment="1">
      <alignment horizontal="center" vertical="top" wrapText="1"/>
    </xf>
    <xf numFmtId="164" fontId="8" fillId="4" borderId="4" xfId="1" applyFont="1" applyFill="1" applyBorder="1" applyAlignment="1">
      <alignment horizontal="center" vertical="center" wrapText="1"/>
    </xf>
    <xf numFmtId="2" fontId="9" fillId="2" borderId="3" xfId="0" applyNumberFormat="1" applyFont="1" applyFill="1" applyBorder="1" applyAlignment="1">
      <alignment horizontal="center" vertical="top"/>
    </xf>
    <xf numFmtId="164" fontId="9" fillId="2" borderId="4" xfId="1" applyFont="1" applyFill="1" applyBorder="1" applyAlignment="1">
      <alignment horizontal="center" vertical="center"/>
    </xf>
    <xf numFmtId="164" fontId="9" fillId="2" borderId="3" xfId="1" applyFont="1" applyFill="1" applyBorder="1" applyAlignment="1">
      <alignment horizontal="center" vertical="top"/>
    </xf>
    <xf numFmtId="0" fontId="9" fillId="4" borderId="5" xfId="0" applyFont="1" applyFill="1" applyBorder="1" applyAlignment="1">
      <alignment horizontal="center" vertical="top"/>
    </xf>
    <xf numFmtId="164" fontId="9" fillId="4" borderId="6" xfId="1" applyFont="1" applyFill="1" applyBorder="1" applyAlignment="1">
      <alignment horizontal="center" vertical="top"/>
    </xf>
    <xf numFmtId="0" fontId="9" fillId="4" borderId="6" xfId="0" applyFont="1" applyFill="1" applyBorder="1" applyAlignment="1">
      <alignment vertical="top"/>
    </xf>
    <xf numFmtId="1" fontId="9" fillId="4" borderId="6" xfId="0" applyNumberFormat="1" applyFont="1" applyFill="1" applyBorder="1" applyAlignment="1">
      <alignment vertical="top"/>
    </xf>
    <xf numFmtId="164" fontId="9" fillId="4" borderId="7" xfId="1" applyFont="1" applyFill="1" applyBorder="1" applyAlignment="1">
      <alignment horizontal="center" vertical="center"/>
    </xf>
    <xf numFmtId="0" fontId="8" fillId="8" borderId="1" xfId="0" applyFont="1" applyFill="1" applyBorder="1" applyAlignment="1">
      <alignment horizontal="left" vertical="top" wrapText="1"/>
    </xf>
    <xf numFmtId="0" fontId="8" fillId="0" borderId="1" xfId="0" applyFont="1" applyBorder="1" applyAlignment="1">
      <alignment horizontal="center" vertical="center" wrapText="1"/>
    </xf>
    <xf numFmtId="1" fontId="8" fillId="0" borderId="1" xfId="0" applyNumberFormat="1" applyFont="1" applyBorder="1" applyAlignment="1">
      <alignment horizontal="center" vertical="center" wrapText="1"/>
    </xf>
    <xf numFmtId="0" fontId="8" fillId="8" borderId="1" xfId="0" applyFont="1" applyFill="1" applyBorder="1" applyAlignment="1">
      <alignment horizontal="center" vertical="top" wrapText="1"/>
    </xf>
    <xf numFmtId="0" fontId="8" fillId="8" borderId="3" xfId="0" applyFont="1" applyFill="1" applyBorder="1" applyAlignment="1">
      <alignment horizontal="center" vertical="top" wrapText="1"/>
    </xf>
    <xf numFmtId="1" fontId="8" fillId="8" borderId="1" xfId="0" applyNumberFormat="1" applyFont="1" applyFill="1" applyBorder="1" applyAlignment="1">
      <alignment horizontal="center" vertical="top" wrapText="1"/>
    </xf>
    <xf numFmtId="1" fontId="8" fillId="8" borderId="1" xfId="0" applyNumberFormat="1" applyFont="1" applyFill="1" applyBorder="1" applyAlignment="1">
      <alignment horizontal="center" vertical="center"/>
    </xf>
    <xf numFmtId="164" fontId="8" fillId="8" borderId="4" xfId="1" applyFont="1" applyFill="1" applyBorder="1" applyAlignment="1">
      <alignment horizontal="center" vertical="center"/>
    </xf>
    <xf numFmtId="0" fontId="7" fillId="7" borderId="1" xfId="3" applyFont="1" applyFill="1" applyBorder="1" applyAlignment="1" applyProtection="1">
      <alignment horizontal="center" vertical="center" wrapText="1"/>
    </xf>
    <xf numFmtId="0" fontId="7" fillId="7" borderId="1" xfId="3" applyFont="1" applyFill="1" applyBorder="1" applyAlignment="1" applyProtection="1">
      <alignment horizontal="left" vertical="center" wrapText="1"/>
    </xf>
    <xf numFmtId="14" fontId="7" fillId="7" borderId="1" xfId="3" applyNumberFormat="1" applyFont="1" applyFill="1" applyBorder="1" applyAlignment="1" applyProtection="1">
      <alignment horizontal="center" vertical="center" wrapText="1"/>
    </xf>
    <xf numFmtId="0" fontId="7" fillId="7" borderId="3" xfId="3" applyFont="1" applyFill="1" applyBorder="1" applyAlignment="1" applyProtection="1">
      <alignment horizontal="center" vertical="center" wrapText="1"/>
    </xf>
    <xf numFmtId="0" fontId="7" fillId="7" borderId="4" xfId="3" applyFont="1" applyFill="1" applyBorder="1" applyAlignment="1" applyProtection="1">
      <alignment horizontal="center" vertical="center" wrapText="1"/>
    </xf>
    <xf numFmtId="0" fontId="6" fillId="0" borderId="0" xfId="0" applyFont="1" applyAlignment="1">
      <alignment horizontal="center" vertical="center"/>
    </xf>
    <xf numFmtId="49" fontId="11" fillId="9" borderId="1" xfId="0" applyNumberFormat="1" applyFont="1" applyFill="1" applyBorder="1" applyAlignment="1">
      <alignment horizontal="left" vertical="center"/>
    </xf>
    <xf numFmtId="49" fontId="12" fillId="9" borderId="1" xfId="0" applyNumberFormat="1" applyFont="1" applyFill="1" applyBorder="1" applyAlignment="1">
      <alignment vertical="center"/>
    </xf>
    <xf numFmtId="1" fontId="0" fillId="0" borderId="1" xfId="0" applyNumberFormat="1" applyBorder="1" applyAlignment="1">
      <alignment vertical="top"/>
    </xf>
    <xf numFmtId="0" fontId="0" fillId="0" borderId="1" xfId="0" applyBorder="1" applyAlignment="1">
      <alignment vertical="top"/>
    </xf>
    <xf numFmtId="49" fontId="10" fillId="9" borderId="1" xfId="0"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6" fillId="0" borderId="1" xfId="0" applyFont="1" applyBorder="1" applyAlignment="1">
      <alignment vertical="top"/>
    </xf>
    <xf numFmtId="1" fontId="6" fillId="0" borderId="1" xfId="0" applyNumberFormat="1" applyFont="1" applyBorder="1" applyAlignment="1">
      <alignment vertical="top"/>
    </xf>
    <xf numFmtId="49" fontId="11" fillId="9" borderId="1" xfId="0" applyNumberFormat="1" applyFont="1" applyFill="1" applyBorder="1" applyAlignment="1">
      <alignment horizontal="left" vertical="center"/>
    </xf>
    <xf numFmtId="0" fontId="16" fillId="2" borderId="15"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5" fillId="10" borderId="18" xfId="0" applyFont="1" applyFill="1" applyBorder="1" applyAlignment="1">
      <alignment horizontal="center" vertical="center"/>
    </xf>
    <xf numFmtId="0" fontId="0" fillId="0" borderId="3"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166" fontId="0" fillId="0" borderId="1" xfId="0" applyNumberFormat="1" applyBorder="1" applyAlignment="1">
      <alignment horizontal="center" vertical="center" wrapText="1"/>
    </xf>
    <xf numFmtId="166" fontId="0" fillId="0" borderId="4" xfId="0" applyNumberFormat="1" applyBorder="1" applyAlignment="1">
      <alignment horizontal="center" vertical="center" wrapText="1"/>
    </xf>
    <xf numFmtId="0" fontId="2" fillId="0" borderId="1" xfId="0" applyFont="1" applyBorder="1" applyAlignment="1">
      <alignment horizontal="center" vertical="center"/>
    </xf>
    <xf numFmtId="0" fontId="18" fillId="0" borderId="1" xfId="17" applyFont="1" applyBorder="1" applyAlignment="1">
      <alignment horizontal="justify" vertical="top" wrapText="1"/>
    </xf>
    <xf numFmtId="166" fontId="0" fillId="0" borderId="1" xfId="0" applyNumberFormat="1" applyBorder="1" applyAlignment="1">
      <alignment vertical="center"/>
    </xf>
    <xf numFmtId="0" fontId="0" fillId="0" borderId="18" xfId="0" applyBorder="1" applyAlignment="1">
      <alignment horizontal="center" vertical="center" wrapText="1"/>
    </xf>
    <xf numFmtId="0" fontId="2" fillId="0" borderId="24" xfId="0" applyFont="1" applyBorder="1" applyAlignment="1">
      <alignment horizontal="center" vertical="center"/>
    </xf>
    <xf numFmtId="0" fontId="0" fillId="0" borderId="24" xfId="0" applyBorder="1" applyAlignment="1">
      <alignment wrapText="1"/>
    </xf>
    <xf numFmtId="0" fontId="0" fillId="0" borderId="24" xfId="0" applyBorder="1" applyAlignment="1">
      <alignment horizontal="center" vertical="center"/>
    </xf>
    <xf numFmtId="0" fontId="0" fillId="0" borderId="24" xfId="0" applyBorder="1" applyAlignment="1">
      <alignment horizontal="center" vertical="center" wrapText="1"/>
    </xf>
    <xf numFmtId="166" fontId="0" fillId="0" borderId="24" xfId="0" applyNumberFormat="1" applyBorder="1" applyAlignment="1">
      <alignment vertical="center"/>
    </xf>
    <xf numFmtId="166" fontId="0" fillId="0" borderId="25" xfId="0" applyNumberFormat="1" applyBorder="1" applyAlignment="1">
      <alignment horizontal="center" vertical="center" wrapText="1"/>
    </xf>
    <xf numFmtId="0" fontId="15" fillId="11" borderId="18" xfId="0" applyFont="1" applyFill="1" applyBorder="1" applyAlignment="1">
      <alignment horizontal="center" vertical="center" wrapText="1"/>
    </xf>
    <xf numFmtId="0" fontId="0" fillId="0" borderId="3" xfId="0" applyBorder="1" applyAlignment="1">
      <alignment horizontal="center" vertical="center"/>
    </xf>
    <xf numFmtId="0" fontId="19" fillId="0" borderId="1" xfId="0" applyFont="1" applyBorder="1" applyAlignment="1">
      <alignment wrapText="1"/>
    </xf>
    <xf numFmtId="166" fontId="0" fillId="0" borderId="4" xfId="0" applyNumberFormat="1" applyBorder="1" applyAlignment="1">
      <alignment vertical="center"/>
    </xf>
    <xf numFmtId="0" fontId="0" fillId="0" borderId="1" xfId="0" applyBorder="1" applyAlignment="1">
      <alignment horizontal="left" wrapText="1"/>
    </xf>
    <xf numFmtId="166" fontId="0" fillId="0" borderId="1" xfId="0" applyNumberFormat="1" applyBorder="1" applyAlignment="1">
      <alignment horizontal="left" vertical="center"/>
    </xf>
    <xf numFmtId="166" fontId="0" fillId="0" borderId="4" xfId="0" applyNumberFormat="1" applyBorder="1" applyAlignment="1">
      <alignment horizontal="left" vertical="center"/>
    </xf>
    <xf numFmtId="0" fontId="16" fillId="10" borderId="18"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xf>
    <xf numFmtId="0" fontId="0" fillId="10" borderId="3" xfId="0" applyFill="1" applyBorder="1"/>
    <xf numFmtId="166" fontId="15" fillId="10" borderId="4" xfId="0" applyNumberFormat="1" applyFont="1" applyFill="1" applyBorder="1" applyAlignment="1">
      <alignment vertical="center"/>
    </xf>
    <xf numFmtId="0" fontId="0" fillId="0" borderId="3" xfId="0" applyBorder="1"/>
    <xf numFmtId="9" fontId="20" fillId="0" borderId="1" xfId="16" applyFont="1" applyBorder="1" applyAlignment="1">
      <alignment horizontal="center" vertical="center"/>
    </xf>
    <xf numFmtId="166" fontId="20" fillId="0" borderId="4" xfId="0" applyNumberFormat="1" applyFont="1" applyBorder="1" applyAlignment="1">
      <alignment vertical="center"/>
    </xf>
    <xf numFmtId="0" fontId="0" fillId="10" borderId="5" xfId="0" applyFill="1" applyBorder="1"/>
    <xf numFmtId="166" fontId="15" fillId="10" borderId="7" xfId="0" applyNumberFormat="1" applyFont="1" applyFill="1" applyBorder="1" applyAlignment="1">
      <alignment vertical="center"/>
    </xf>
    <xf numFmtId="0" fontId="0" fillId="0" borderId="0" xfId="0" applyAlignment="1">
      <alignment wrapText="1"/>
    </xf>
    <xf numFmtId="0" fontId="15" fillId="11" borderId="3" xfId="0" applyFont="1" applyFill="1" applyBorder="1" applyAlignment="1">
      <alignment horizontal="center" vertical="center" wrapText="1"/>
    </xf>
    <xf numFmtId="0" fontId="15" fillId="10"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43" fontId="7" fillId="2" borderId="4" xfId="10" applyFont="1" applyFill="1" applyBorder="1" applyAlignment="1">
      <alignment horizontal="center" vertical="center" wrapText="1"/>
    </xf>
    <xf numFmtId="0" fontId="9" fillId="12" borderId="1" xfId="0" applyFont="1" applyFill="1" applyBorder="1" applyAlignment="1">
      <alignment horizontal="left" vertical="top" wrapText="1"/>
    </xf>
    <xf numFmtId="43" fontId="8" fillId="0" borderId="4" xfId="10" applyFont="1" applyBorder="1" applyAlignment="1">
      <alignment horizontal="center" vertical="center"/>
    </xf>
    <xf numFmtId="0" fontId="8" fillId="12" borderId="1" xfId="0" applyFont="1" applyFill="1" applyBorder="1" applyAlignment="1">
      <alignment horizontal="left" vertical="top" wrapText="1"/>
    </xf>
    <xf numFmtId="0" fontId="8" fillId="12" borderId="3" xfId="0" applyFont="1" applyFill="1" applyBorder="1" applyAlignment="1">
      <alignment horizontal="center" vertical="top" wrapText="1"/>
    </xf>
    <xf numFmtId="0" fontId="8" fillId="12" borderId="1" xfId="0" applyFont="1" applyFill="1" applyBorder="1" applyAlignment="1">
      <alignment horizontal="center" vertical="top" wrapText="1"/>
    </xf>
    <xf numFmtId="1" fontId="8" fillId="12" borderId="1" xfId="0" applyNumberFormat="1" applyFont="1" applyFill="1" applyBorder="1" applyAlignment="1">
      <alignment horizontal="center" vertical="top" wrapText="1"/>
    </xf>
    <xf numFmtId="43" fontId="8" fillId="12" borderId="4" xfId="10" applyFont="1" applyFill="1" applyBorder="1" applyAlignment="1">
      <alignment horizontal="center" vertical="center" wrapText="1"/>
    </xf>
    <xf numFmtId="43" fontId="9" fillId="2" borderId="4" xfId="10" applyFont="1" applyFill="1" applyBorder="1" applyAlignment="1">
      <alignment horizontal="center" vertical="center"/>
    </xf>
    <xf numFmtId="43" fontId="9" fillId="2" borderId="3" xfId="10" applyFont="1" applyFill="1" applyBorder="1" applyAlignment="1">
      <alignment horizontal="center" vertical="top"/>
    </xf>
    <xf numFmtId="43" fontId="9" fillId="2" borderId="1" xfId="10" applyFont="1" applyFill="1" applyBorder="1" applyAlignment="1">
      <alignment horizontal="center" vertical="top"/>
    </xf>
    <xf numFmtId="1" fontId="9" fillId="2" borderId="1" xfId="10" applyNumberFormat="1" applyFont="1" applyFill="1" applyBorder="1" applyAlignment="1">
      <alignment horizontal="center" vertical="top"/>
    </xf>
    <xf numFmtId="0" fontId="9" fillId="12" borderId="5" xfId="0" applyFont="1" applyFill="1" applyBorder="1" applyAlignment="1">
      <alignment horizontal="center" vertical="top"/>
    </xf>
    <xf numFmtId="43" fontId="9" fillId="12" borderId="6" xfId="10" applyFont="1" applyFill="1" applyBorder="1" applyAlignment="1">
      <alignment horizontal="center" vertical="top"/>
    </xf>
    <xf numFmtId="0" fontId="9" fillId="12" borderId="6" xfId="0" applyFont="1" applyFill="1" applyBorder="1" applyAlignment="1">
      <alignment vertical="top"/>
    </xf>
    <xf numFmtId="1" fontId="9" fillId="12" borderId="6" xfId="0" applyNumberFormat="1" applyFont="1" applyFill="1" applyBorder="1" applyAlignment="1">
      <alignment vertical="top"/>
    </xf>
    <xf numFmtId="43" fontId="9" fillId="12" borderId="7" xfId="10" applyFont="1" applyFill="1" applyBorder="1" applyAlignment="1">
      <alignment horizontal="center" vertical="center"/>
    </xf>
    <xf numFmtId="43" fontId="6" fillId="0" borderId="0" xfId="10" applyFont="1" applyAlignment="1">
      <alignment horizontal="center" vertical="center"/>
    </xf>
    <xf numFmtId="1" fontId="6" fillId="0" borderId="0" xfId="0" applyNumberFormat="1" applyFont="1" applyAlignment="1">
      <alignment vertical="top"/>
    </xf>
    <xf numFmtId="0" fontId="16" fillId="0" borderId="1" xfId="0" applyFont="1" applyBorder="1" applyAlignment="1">
      <alignment horizontal="left" vertical="center"/>
    </xf>
    <xf numFmtId="0" fontId="15" fillId="10" borderId="6" xfId="0" applyFont="1" applyFill="1" applyBorder="1" applyAlignment="1">
      <alignment horizontal="left" vertical="center"/>
    </xf>
    <xf numFmtId="49" fontId="10" fillId="9" borderId="27" xfId="0" applyNumberFormat="1" applyFont="1" applyFill="1" applyBorder="1" applyAlignment="1">
      <alignment horizontal="left" vertical="center"/>
    </xf>
    <xf numFmtId="49" fontId="10" fillId="9" borderId="28" xfId="0" applyNumberFormat="1" applyFont="1" applyFill="1" applyBorder="1" applyAlignment="1">
      <alignment horizontal="left" vertical="center"/>
    </xf>
    <xf numFmtId="49" fontId="10" fillId="9" borderId="29" xfId="0" applyNumberFormat="1" applyFont="1" applyFill="1" applyBorder="1" applyAlignment="1">
      <alignment horizontal="left" vertical="center"/>
    </xf>
    <xf numFmtId="49" fontId="11" fillId="9" borderId="14" xfId="0" applyNumberFormat="1" applyFont="1" applyFill="1" applyBorder="1" applyAlignment="1">
      <alignment horizontal="left" vertical="center"/>
    </xf>
    <xf numFmtId="49" fontId="11" fillId="9" borderId="11" xfId="0" applyNumberFormat="1" applyFont="1" applyFill="1" applyBorder="1" applyAlignment="1">
      <alignment horizontal="left" vertical="center"/>
    </xf>
    <xf numFmtId="49" fontId="11" fillId="9" borderId="13" xfId="0" applyNumberFormat="1" applyFont="1" applyFill="1" applyBorder="1" applyAlignment="1">
      <alignment horizontal="left" vertical="center"/>
    </xf>
    <xf numFmtId="0" fontId="15" fillId="10" borderId="1" xfId="0" applyFont="1" applyFill="1" applyBorder="1" applyAlignment="1">
      <alignment horizontal="left" vertical="center"/>
    </xf>
    <xf numFmtId="0" fontId="15" fillId="10" borderId="4" xfId="0" applyFont="1" applyFill="1" applyBorder="1" applyAlignment="1">
      <alignment horizontal="left" vertical="center"/>
    </xf>
    <xf numFmtId="0" fontId="15" fillId="10" borderId="20" xfId="0" applyFont="1" applyFill="1" applyBorder="1" applyAlignment="1">
      <alignment horizontal="left"/>
    </xf>
    <xf numFmtId="0" fontId="15" fillId="10" borderId="21" xfId="0" applyFont="1" applyFill="1" applyBorder="1" applyAlignment="1">
      <alignment horizontal="left"/>
    </xf>
    <xf numFmtId="0" fontId="16" fillId="10" borderId="20" xfId="0" applyFont="1" applyFill="1" applyBorder="1" applyAlignment="1">
      <alignment horizontal="left"/>
    </xf>
    <xf numFmtId="0" fontId="16" fillId="10" borderId="21" xfId="0" applyFont="1" applyFill="1" applyBorder="1" applyAlignment="1">
      <alignment horizontal="left"/>
    </xf>
    <xf numFmtId="0" fontId="15" fillId="2" borderId="0" xfId="0" applyFont="1" applyFill="1" applyAlignment="1">
      <alignment horizontal="center"/>
    </xf>
    <xf numFmtId="0" fontId="15" fillId="10" borderId="22" xfId="0" applyFont="1" applyFill="1" applyBorder="1" applyAlignment="1">
      <alignment horizontal="left"/>
    </xf>
    <xf numFmtId="0" fontId="15" fillId="10" borderId="23" xfId="0" applyFont="1" applyFill="1" applyBorder="1" applyAlignment="1">
      <alignment horizontal="left"/>
    </xf>
    <xf numFmtId="0" fontId="15" fillId="11" borderId="1" xfId="0" applyFont="1" applyFill="1" applyBorder="1" applyAlignment="1">
      <alignment horizontal="left" vertical="center"/>
    </xf>
    <xf numFmtId="0" fontId="15" fillId="11" borderId="4" xfId="0" applyFont="1" applyFill="1" applyBorder="1" applyAlignment="1">
      <alignment horizontal="left" vertical="center"/>
    </xf>
    <xf numFmtId="0" fontId="15" fillId="10" borderId="11" xfId="0" applyFont="1" applyFill="1" applyBorder="1" applyAlignment="1">
      <alignment horizontal="left" vertical="center"/>
    </xf>
    <xf numFmtId="0" fontId="15" fillId="10" borderId="26" xfId="0" applyFont="1" applyFill="1" applyBorder="1" applyAlignment="1">
      <alignment horizontal="left" vertical="center"/>
    </xf>
    <xf numFmtId="0" fontId="15" fillId="2" borderId="18" xfId="0" applyFont="1" applyFill="1" applyBorder="1" applyAlignment="1">
      <alignment horizontal="center"/>
    </xf>
    <xf numFmtId="0" fontId="15" fillId="2" borderId="0" xfId="0" applyFont="1" applyFill="1" applyBorder="1" applyAlignment="1">
      <alignment horizontal="center"/>
    </xf>
    <xf numFmtId="0" fontId="15" fillId="2" borderId="19" xfId="0" applyFont="1" applyFill="1" applyBorder="1" applyAlignment="1">
      <alignment horizontal="center"/>
    </xf>
    <xf numFmtId="0" fontId="15" fillId="11" borderId="0" xfId="0" applyFont="1" applyFill="1" applyBorder="1" applyAlignment="1">
      <alignment horizontal="left" vertical="center"/>
    </xf>
    <xf numFmtId="0" fontId="15" fillId="11" borderId="19" xfId="0" applyFont="1" applyFill="1" applyBorder="1" applyAlignment="1">
      <alignment horizontal="left" vertical="center"/>
    </xf>
    <xf numFmtId="49" fontId="14" fillId="9" borderId="14" xfId="0" applyNumberFormat="1" applyFont="1" applyFill="1" applyBorder="1" applyAlignment="1">
      <alignment horizontal="center" vertical="center" wrapText="1"/>
    </xf>
    <xf numFmtId="49" fontId="14" fillId="9" borderId="11" xfId="0" applyNumberFormat="1" applyFont="1" applyFill="1" applyBorder="1" applyAlignment="1">
      <alignment horizontal="center" vertical="center" wrapText="1"/>
    </xf>
    <xf numFmtId="49" fontId="14" fillId="9" borderId="13" xfId="0" applyNumberFormat="1" applyFont="1" applyFill="1" applyBorder="1" applyAlignment="1">
      <alignment horizontal="center" vertical="center" wrapText="1"/>
    </xf>
    <xf numFmtId="0" fontId="7" fillId="7" borderId="8" xfId="3" applyFont="1" applyFill="1" applyBorder="1" applyAlignment="1" applyProtection="1">
      <alignment horizontal="center" vertical="center" wrapText="1"/>
    </xf>
    <xf numFmtId="0" fontId="7" fillId="7" borderId="9" xfId="3" applyFont="1" applyFill="1" applyBorder="1" applyAlignment="1" applyProtection="1">
      <alignment horizontal="center" vertical="center" wrapText="1"/>
    </xf>
    <xf numFmtId="0" fontId="7" fillId="7" borderId="10" xfId="3" applyFont="1" applyFill="1" applyBorder="1" applyAlignment="1" applyProtection="1">
      <alignment horizontal="center" vertical="center" wrapText="1"/>
    </xf>
    <xf numFmtId="49" fontId="10" fillId="9" borderId="12" xfId="0" applyNumberFormat="1" applyFont="1" applyFill="1" applyBorder="1" applyAlignment="1">
      <alignment horizontal="left" vertical="center"/>
    </xf>
    <xf numFmtId="49" fontId="11" fillId="9" borderId="1" xfId="0" applyNumberFormat="1" applyFont="1" applyFill="1" applyBorder="1" applyAlignment="1">
      <alignment horizontal="left" vertical="center"/>
    </xf>
    <xf numFmtId="0" fontId="7" fillId="2" borderId="15" xfId="3" applyFont="1" applyFill="1" applyBorder="1" applyAlignment="1" applyProtection="1">
      <alignment horizontal="center" vertical="center" wrapText="1"/>
    </xf>
    <xf numFmtId="0" fontId="7" fillId="2" borderId="16" xfId="3" applyFont="1" applyFill="1" applyBorder="1" applyAlignment="1" applyProtection="1">
      <alignment horizontal="center" vertical="center" wrapText="1"/>
    </xf>
    <xf numFmtId="0" fontId="7" fillId="2" borderId="17" xfId="3" applyFont="1" applyFill="1" applyBorder="1" applyAlignment="1" applyProtection="1">
      <alignment horizontal="center" vertical="center" wrapText="1"/>
    </xf>
  </cellXfs>
  <cellStyles count="18">
    <cellStyle name="20% - Accent6 4 6 2 2" xfId="4" xr:uid="{00000000-0005-0000-0000-000000000000}"/>
    <cellStyle name="20% - Accent6 4 6 2 2 2" xfId="3" xr:uid="{00000000-0005-0000-0000-000001000000}"/>
    <cellStyle name="Comma" xfId="1" builtinId="3"/>
    <cellStyle name="Comma 12" xfId="7" xr:uid="{00000000-0005-0000-0000-000003000000}"/>
    <cellStyle name="Comma 12 2" xfId="10" xr:uid="{00000000-0005-0000-0000-000004000000}"/>
    <cellStyle name="Comma 12 2 2" xfId="12" xr:uid="{00000000-0005-0000-0000-000005000000}"/>
    <cellStyle name="Comma 12 2 3" xfId="15" xr:uid="{00000000-0005-0000-0000-000006000000}"/>
    <cellStyle name="Comma 12 3" xfId="13" xr:uid="{00000000-0005-0000-0000-000007000000}"/>
    <cellStyle name="Comma 2" xfId="9" xr:uid="{00000000-0005-0000-0000-000008000000}"/>
    <cellStyle name="Comma 2 2" xfId="11" xr:uid="{00000000-0005-0000-0000-000009000000}"/>
    <cellStyle name="Comma 2 3" xfId="14" xr:uid="{00000000-0005-0000-0000-00000A000000}"/>
    <cellStyle name="Normal" xfId="0" builtinId="0"/>
    <cellStyle name="Normal 13" xfId="2" xr:uid="{00000000-0005-0000-0000-00000C000000}"/>
    <cellStyle name="Normal 20" xfId="6" xr:uid="{00000000-0005-0000-0000-00000D000000}"/>
    <cellStyle name="Normal 23" xfId="8" xr:uid="{00000000-0005-0000-0000-00000E000000}"/>
    <cellStyle name="Normal 3" xfId="5" xr:uid="{00000000-0005-0000-0000-00000F000000}"/>
    <cellStyle name="Normal 3 2" xfId="17" xr:uid="{A221F9F4-D60C-4791-AEFE-D36EB6D6CAA5}"/>
    <cellStyle name="Percent" xfId="16" builtinId="5"/>
  </cellStyles>
  <dxfs count="0"/>
  <tableStyles count="0" defaultTableStyle="TableStyleMedium2" defaultPivotStyle="PivotStyleLight16"/>
  <colors>
    <mruColors>
      <color rgb="FFBDD7EE"/>
      <color rgb="FF365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14DC-E952-4FAA-933E-A013BDE6C2BC}">
  <sheetPr>
    <pageSetUpPr fitToPage="1"/>
  </sheetPr>
  <dimension ref="A1:G40"/>
  <sheetViews>
    <sheetView tabSelected="1" zoomScale="85" zoomScaleNormal="85" workbookViewId="0">
      <selection activeCell="C9" sqref="C9"/>
    </sheetView>
  </sheetViews>
  <sheetFormatPr defaultColWidth="10.85546875" defaultRowHeight="15" x14ac:dyDescent="0.25"/>
  <cols>
    <col min="1" max="1" width="4.42578125" bestFit="1" customWidth="1"/>
    <col min="2" max="2" width="13.42578125" bestFit="1" customWidth="1"/>
    <col min="3" max="3" width="60.42578125" customWidth="1"/>
    <col min="4" max="4" width="5.140625" bestFit="1" customWidth="1"/>
    <col min="5" max="5" width="5.42578125" bestFit="1" customWidth="1"/>
    <col min="6" max="6" width="14.28515625" bestFit="1" customWidth="1"/>
    <col min="7" max="7" width="19.5703125" customWidth="1"/>
  </cols>
  <sheetData>
    <row r="1" spans="1:7" ht="18.75" x14ac:dyDescent="0.3">
      <c r="A1" s="134" t="s">
        <v>104</v>
      </c>
      <c r="B1" s="134"/>
      <c r="C1" s="134"/>
      <c r="D1" s="134"/>
      <c r="E1" s="134"/>
      <c r="F1" s="134"/>
      <c r="G1" s="134"/>
    </row>
    <row r="2" spans="1:7" ht="19.5" thickBot="1" x14ac:dyDescent="0.35">
      <c r="A2" s="134" t="s">
        <v>105</v>
      </c>
      <c r="B2" s="134"/>
      <c r="C2" s="134"/>
      <c r="D2" s="134"/>
      <c r="E2" s="134"/>
      <c r="F2" s="134"/>
      <c r="G2" s="134"/>
    </row>
    <row r="3" spans="1:7" ht="31.5" x14ac:dyDescent="0.25">
      <c r="A3" s="58" t="s">
        <v>68</v>
      </c>
      <c r="B3" s="59" t="s">
        <v>69</v>
      </c>
      <c r="C3" s="59" t="s">
        <v>70</v>
      </c>
      <c r="D3" s="59" t="s">
        <v>5</v>
      </c>
      <c r="E3" s="59" t="s">
        <v>71</v>
      </c>
      <c r="F3" s="59" t="s">
        <v>72</v>
      </c>
      <c r="G3" s="60" t="s">
        <v>73</v>
      </c>
    </row>
    <row r="4" spans="1:7" ht="18.75" x14ac:dyDescent="0.3">
      <c r="A4" s="61">
        <v>1</v>
      </c>
      <c r="B4" s="130" t="s">
        <v>74</v>
      </c>
      <c r="C4" s="130"/>
      <c r="D4" s="130"/>
      <c r="E4" s="130"/>
      <c r="F4" s="130"/>
      <c r="G4" s="131"/>
    </row>
    <row r="5" spans="1:7" ht="30" x14ac:dyDescent="0.25">
      <c r="A5" s="62">
        <v>1.1000000000000001</v>
      </c>
      <c r="B5" s="63"/>
      <c r="C5" s="64" t="s">
        <v>53</v>
      </c>
      <c r="D5" s="65" t="s">
        <v>18</v>
      </c>
      <c r="E5" s="66">
        <v>6000</v>
      </c>
      <c r="F5" s="67">
        <v>2</v>
      </c>
      <c r="G5" s="68">
        <f>E5*F5</f>
        <v>12000</v>
      </c>
    </row>
    <row r="6" spans="1:7" ht="18.75" x14ac:dyDescent="0.3">
      <c r="A6" s="61">
        <v>2</v>
      </c>
      <c r="B6" s="135" t="s">
        <v>75</v>
      </c>
      <c r="C6" s="135"/>
      <c r="D6" s="135"/>
      <c r="E6" s="135"/>
      <c r="F6" s="135"/>
      <c r="G6" s="136"/>
    </row>
    <row r="7" spans="1:7" ht="45" x14ac:dyDescent="0.25">
      <c r="A7" s="62">
        <v>2.1</v>
      </c>
      <c r="B7" s="69" t="s">
        <v>76</v>
      </c>
      <c r="C7" s="70" t="s">
        <v>77</v>
      </c>
      <c r="D7" s="65" t="s">
        <v>18</v>
      </c>
      <c r="E7" s="66">
        <v>6000</v>
      </c>
      <c r="F7" s="71">
        <v>1</v>
      </c>
      <c r="G7" s="68">
        <f>E7*F7</f>
        <v>6000</v>
      </c>
    </row>
    <row r="8" spans="1:7" ht="30" x14ac:dyDescent="0.25">
      <c r="A8" s="62">
        <v>2.2000000000000002</v>
      </c>
      <c r="B8" s="63" t="s">
        <v>78</v>
      </c>
      <c r="C8" s="64" t="s">
        <v>79</v>
      </c>
      <c r="D8" s="65" t="s">
        <v>18</v>
      </c>
      <c r="E8" s="66">
        <v>6000</v>
      </c>
      <c r="F8" s="71">
        <v>3</v>
      </c>
      <c r="G8" s="68">
        <f t="shared" ref="G8:G10" si="0">E8*F8</f>
        <v>18000</v>
      </c>
    </row>
    <row r="9" spans="1:7" ht="75" x14ac:dyDescent="0.25">
      <c r="A9" s="62">
        <v>2.2999999999999998</v>
      </c>
      <c r="B9" s="69" t="s">
        <v>80</v>
      </c>
      <c r="C9" s="64" t="s">
        <v>81</v>
      </c>
      <c r="D9" s="65" t="s">
        <v>18</v>
      </c>
      <c r="E9" s="66">
        <v>6000</v>
      </c>
      <c r="F9" s="71">
        <v>1</v>
      </c>
      <c r="G9" s="68">
        <f t="shared" si="0"/>
        <v>6000</v>
      </c>
    </row>
    <row r="10" spans="1:7" ht="225" x14ac:dyDescent="0.25">
      <c r="A10" s="62">
        <v>2.4</v>
      </c>
      <c r="B10" s="69" t="s">
        <v>82</v>
      </c>
      <c r="C10" s="64" t="s">
        <v>83</v>
      </c>
      <c r="D10" s="65" t="s">
        <v>18</v>
      </c>
      <c r="E10" s="66">
        <v>6000</v>
      </c>
      <c r="F10" s="71">
        <v>92</v>
      </c>
      <c r="G10" s="68">
        <f t="shared" si="0"/>
        <v>552000</v>
      </c>
    </row>
    <row r="11" spans="1:7" ht="45" x14ac:dyDescent="0.25">
      <c r="A11" s="62">
        <v>2.5</v>
      </c>
      <c r="B11" s="69" t="s">
        <v>40</v>
      </c>
      <c r="C11" s="64" t="s">
        <v>84</v>
      </c>
      <c r="D11" s="65" t="s">
        <v>21</v>
      </c>
      <c r="E11" s="66">
        <v>320</v>
      </c>
      <c r="F11" s="71">
        <v>280</v>
      </c>
      <c r="G11" s="68">
        <f>E11*F11</f>
        <v>89600</v>
      </c>
    </row>
    <row r="12" spans="1:7" ht="18.75" x14ac:dyDescent="0.25">
      <c r="A12" s="97">
        <v>3</v>
      </c>
      <c r="B12" s="137" t="s">
        <v>85</v>
      </c>
      <c r="C12" s="137"/>
      <c r="D12" s="137"/>
      <c r="E12" s="137"/>
      <c r="F12" s="137"/>
      <c r="G12" s="138"/>
    </row>
    <row r="13" spans="1:7" x14ac:dyDescent="0.25">
      <c r="A13" s="62">
        <v>3.1</v>
      </c>
      <c r="B13" s="69" t="s">
        <v>42</v>
      </c>
      <c r="C13" s="64" t="s">
        <v>86</v>
      </c>
      <c r="D13" s="65" t="s">
        <v>87</v>
      </c>
      <c r="E13" s="66">
        <v>200</v>
      </c>
      <c r="F13" s="71">
        <v>880</v>
      </c>
      <c r="G13" s="68">
        <f>E13*F13</f>
        <v>176000</v>
      </c>
    </row>
    <row r="14" spans="1:7" ht="18.75" x14ac:dyDescent="0.25">
      <c r="A14" s="98">
        <v>4</v>
      </c>
      <c r="B14" s="128" t="s">
        <v>88</v>
      </c>
      <c r="C14" s="128"/>
      <c r="D14" s="128"/>
      <c r="E14" s="128"/>
      <c r="F14" s="128"/>
      <c r="G14" s="129"/>
    </row>
    <row r="15" spans="1:7" ht="122.25" x14ac:dyDescent="0.25">
      <c r="A15" s="80">
        <v>4.0999999999999996</v>
      </c>
      <c r="B15" s="1"/>
      <c r="C15" s="81" t="s">
        <v>90</v>
      </c>
      <c r="D15" s="65" t="s">
        <v>18</v>
      </c>
      <c r="E15" s="65">
        <v>6000</v>
      </c>
      <c r="F15" s="71">
        <v>64</v>
      </c>
      <c r="G15" s="82">
        <f>E15*F15</f>
        <v>384000</v>
      </c>
    </row>
    <row r="16" spans="1:7" ht="18.75" x14ac:dyDescent="0.3">
      <c r="A16" s="61">
        <v>5</v>
      </c>
      <c r="B16" s="130" t="s">
        <v>91</v>
      </c>
      <c r="C16" s="130"/>
      <c r="D16" s="130"/>
      <c r="E16" s="130"/>
      <c r="F16" s="130"/>
      <c r="G16" s="131"/>
    </row>
    <row r="17" spans="1:7" ht="90" x14ac:dyDescent="0.25">
      <c r="A17" s="80">
        <v>5.0999999999999996</v>
      </c>
      <c r="B17" s="88"/>
      <c r="C17" s="83" t="s">
        <v>107</v>
      </c>
      <c r="D17" s="65" t="s">
        <v>106</v>
      </c>
      <c r="E17" s="65">
        <v>1</v>
      </c>
      <c r="F17" s="84">
        <v>182000</v>
      </c>
      <c r="G17" s="85">
        <f>E17*F17</f>
        <v>182000</v>
      </c>
    </row>
    <row r="18" spans="1:7" ht="15.75" x14ac:dyDescent="0.25">
      <c r="A18" s="86">
        <v>6</v>
      </c>
      <c r="B18" s="132" t="s">
        <v>95</v>
      </c>
      <c r="C18" s="132"/>
      <c r="D18" s="132"/>
      <c r="E18" s="132"/>
      <c r="F18" s="132"/>
      <c r="G18" s="133"/>
    </row>
    <row r="19" spans="1:7" ht="120" x14ac:dyDescent="0.25">
      <c r="A19" s="80">
        <v>6.1</v>
      </c>
      <c r="B19" s="63" t="s">
        <v>95</v>
      </c>
      <c r="C19" s="83" t="s">
        <v>96</v>
      </c>
      <c r="D19" s="87" t="s">
        <v>18</v>
      </c>
      <c r="E19" s="65">
        <f>320*12</f>
        <v>3840</v>
      </c>
      <c r="F19" s="84">
        <v>112</v>
      </c>
      <c r="G19" s="85">
        <f>E19*F19</f>
        <v>430080</v>
      </c>
    </row>
    <row r="20" spans="1:7" ht="15.75" x14ac:dyDescent="0.25">
      <c r="A20" s="86">
        <v>7</v>
      </c>
      <c r="B20" s="132" t="s">
        <v>97</v>
      </c>
      <c r="C20" s="132"/>
      <c r="D20" s="132"/>
      <c r="E20" s="132"/>
      <c r="F20" s="132"/>
      <c r="G20" s="133"/>
    </row>
    <row r="21" spans="1:7" ht="75" x14ac:dyDescent="0.25">
      <c r="A21" s="80">
        <v>7.1</v>
      </c>
      <c r="B21" s="63" t="s">
        <v>97</v>
      </c>
      <c r="C21" s="83" t="s">
        <v>98</v>
      </c>
      <c r="D21" s="87" t="s">
        <v>27</v>
      </c>
      <c r="E21" s="65">
        <v>14</v>
      </c>
      <c r="F21" s="84">
        <v>9800</v>
      </c>
      <c r="G21" s="85">
        <f>E21*F21</f>
        <v>137200</v>
      </c>
    </row>
    <row r="22" spans="1:7" x14ac:dyDescent="0.25">
      <c r="A22" s="80"/>
      <c r="B22" s="88"/>
      <c r="C22" s="83"/>
      <c r="D22" s="65"/>
      <c r="E22" s="65"/>
      <c r="F22" s="84"/>
      <c r="G22" s="85"/>
    </row>
    <row r="23" spans="1:7" x14ac:dyDescent="0.25">
      <c r="A23" s="80"/>
      <c r="B23" s="88"/>
      <c r="C23" s="83"/>
      <c r="D23" s="65"/>
      <c r="E23" s="65"/>
      <c r="F23" s="84"/>
      <c r="G23" s="85"/>
    </row>
    <row r="24" spans="1:7" ht="18.75" x14ac:dyDescent="0.25">
      <c r="A24" s="89"/>
      <c r="B24" s="128" t="s">
        <v>99</v>
      </c>
      <c r="C24" s="128"/>
      <c r="D24" s="128"/>
      <c r="E24" s="128"/>
      <c r="F24" s="128"/>
      <c r="G24" s="90">
        <f>SUM(G21,G19,G17,G15,G13,G10,G9,G8,G7,G5,G11)</f>
        <v>1992880</v>
      </c>
    </row>
    <row r="25" spans="1:7" ht="15.75" x14ac:dyDescent="0.25">
      <c r="A25" s="91"/>
      <c r="B25" s="120" t="s">
        <v>100</v>
      </c>
      <c r="C25" s="120"/>
      <c r="D25" s="120"/>
      <c r="E25" s="120"/>
      <c r="F25" s="92">
        <v>0.18</v>
      </c>
      <c r="G25" s="93">
        <f>G24*F25</f>
        <v>358718.39999999997</v>
      </c>
    </row>
    <row r="26" spans="1:7" ht="19.5" thickBot="1" x14ac:dyDescent="0.3">
      <c r="A26" s="94"/>
      <c r="B26" s="121" t="s">
        <v>101</v>
      </c>
      <c r="C26" s="121"/>
      <c r="D26" s="121"/>
      <c r="E26" s="121"/>
      <c r="F26" s="121"/>
      <c r="G26" s="95">
        <f>G24+G25</f>
        <v>2351598.4</v>
      </c>
    </row>
    <row r="27" spans="1:7" x14ac:dyDescent="0.25">
      <c r="A27" s="122" t="s">
        <v>29</v>
      </c>
      <c r="B27" s="123"/>
      <c r="C27" s="123"/>
      <c r="D27" s="123"/>
      <c r="E27" s="124"/>
    </row>
    <row r="28" spans="1:7" x14ac:dyDescent="0.25">
      <c r="A28" s="125" t="s">
        <v>102</v>
      </c>
      <c r="B28" s="126"/>
      <c r="C28" s="126"/>
      <c r="D28" s="126"/>
      <c r="E28" s="127"/>
    </row>
    <row r="29" spans="1:7" x14ac:dyDescent="0.25">
      <c r="A29" s="57" t="s">
        <v>103</v>
      </c>
      <c r="B29" s="57"/>
      <c r="C29" s="52"/>
      <c r="D29" s="51"/>
      <c r="E29" s="52"/>
    </row>
    <row r="30" spans="1:7" x14ac:dyDescent="0.25">
      <c r="C30" s="96"/>
    </row>
    <row r="40" ht="28.5" customHeight="1" x14ac:dyDescent="0.25"/>
  </sheetData>
  <mergeCells count="14">
    <mergeCell ref="A1:G1"/>
    <mergeCell ref="A2:G2"/>
    <mergeCell ref="B4:G4"/>
    <mergeCell ref="B6:G6"/>
    <mergeCell ref="B12:G12"/>
    <mergeCell ref="B25:E25"/>
    <mergeCell ref="B26:F26"/>
    <mergeCell ref="A27:E27"/>
    <mergeCell ref="A28:E28"/>
    <mergeCell ref="B14:G14"/>
    <mergeCell ref="B16:G16"/>
    <mergeCell ref="B18:G18"/>
    <mergeCell ref="B20:G20"/>
    <mergeCell ref="B24:F24"/>
  </mergeCells>
  <dataValidations count="1">
    <dataValidation allowBlank="1" showInputMessage="1" showErrorMessage="1" promptTitle="Item Description" prompt="Please enter Item Description in text" sqref="C7" xr:uid="{0355CB1D-E4B2-4696-AFC9-F3BE6C9870A6}"/>
  </dataValidations>
  <pageMargins left="0.70866141732283472" right="0.70866141732283472" top="0.74803149606299213" bottom="0.74803149606299213" header="0.31496062992125984" footer="0.31496062992125984"/>
  <pageSetup paperSize="9" scale="63"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A40B-348C-4D85-9F78-941F82F20E3C}">
  <dimension ref="A1:G30"/>
  <sheetViews>
    <sheetView workbookViewId="0">
      <selection activeCell="D5" sqref="D5"/>
    </sheetView>
  </sheetViews>
  <sheetFormatPr defaultRowHeight="15" x14ac:dyDescent="0.25"/>
  <cols>
    <col min="1" max="1" width="4.42578125" bestFit="1" customWidth="1"/>
    <col min="2" max="2" width="13.42578125" bestFit="1" customWidth="1"/>
    <col min="3" max="3" width="60.42578125" customWidth="1"/>
    <col min="4" max="4" width="5.140625" bestFit="1" customWidth="1"/>
    <col min="5" max="5" width="5.42578125" bestFit="1" customWidth="1"/>
    <col min="6" max="6" width="14.28515625" bestFit="1" customWidth="1"/>
    <col min="7" max="7" width="19.5703125" customWidth="1"/>
  </cols>
  <sheetData>
    <row r="1" spans="1:7" ht="18.75" x14ac:dyDescent="0.3">
      <c r="A1" s="141" t="s">
        <v>66</v>
      </c>
      <c r="B1" s="142"/>
      <c r="C1" s="142"/>
      <c r="D1" s="142"/>
      <c r="E1" s="142"/>
      <c r="F1" s="142"/>
      <c r="G1" s="143"/>
    </row>
    <row r="2" spans="1:7" ht="19.5" thickBot="1" x14ac:dyDescent="0.35">
      <c r="A2" s="141" t="s">
        <v>67</v>
      </c>
      <c r="B2" s="142"/>
      <c r="C2" s="142"/>
      <c r="D2" s="142"/>
      <c r="E2" s="142"/>
      <c r="F2" s="142"/>
      <c r="G2" s="143"/>
    </row>
    <row r="3" spans="1:7" ht="31.5" x14ac:dyDescent="0.25">
      <c r="A3" s="58" t="s">
        <v>68</v>
      </c>
      <c r="B3" s="59" t="s">
        <v>69</v>
      </c>
      <c r="C3" s="59" t="s">
        <v>70</v>
      </c>
      <c r="D3" s="59" t="s">
        <v>5</v>
      </c>
      <c r="E3" s="59" t="s">
        <v>71</v>
      </c>
      <c r="F3" s="59" t="s">
        <v>72</v>
      </c>
      <c r="G3" s="60" t="s">
        <v>73</v>
      </c>
    </row>
    <row r="4" spans="1:7" ht="18.75" x14ac:dyDescent="0.3">
      <c r="A4" s="61">
        <v>1</v>
      </c>
      <c r="B4" s="130" t="s">
        <v>74</v>
      </c>
      <c r="C4" s="130"/>
      <c r="D4" s="130"/>
      <c r="E4" s="130"/>
      <c r="F4" s="130"/>
      <c r="G4" s="131"/>
    </row>
    <row r="5" spans="1:7" ht="30" x14ac:dyDescent="0.25">
      <c r="A5" s="62">
        <v>1.1000000000000001</v>
      </c>
      <c r="B5" s="63"/>
      <c r="C5" s="64" t="s">
        <v>53</v>
      </c>
      <c r="D5" s="65" t="s">
        <v>18</v>
      </c>
      <c r="E5" s="66">
        <v>7200</v>
      </c>
      <c r="F5" s="67">
        <v>3</v>
      </c>
      <c r="G5" s="68">
        <f>E5*F5</f>
        <v>21600</v>
      </c>
    </row>
    <row r="6" spans="1:7" ht="18.75" x14ac:dyDescent="0.3">
      <c r="A6" s="61">
        <v>2</v>
      </c>
      <c r="B6" s="135" t="s">
        <v>75</v>
      </c>
      <c r="C6" s="135"/>
      <c r="D6" s="135"/>
      <c r="E6" s="135"/>
      <c r="F6" s="135"/>
      <c r="G6" s="136"/>
    </row>
    <row r="7" spans="1:7" ht="45" x14ac:dyDescent="0.25">
      <c r="A7" s="62">
        <v>2.1</v>
      </c>
      <c r="B7" s="69" t="s">
        <v>76</v>
      </c>
      <c r="C7" s="70" t="s">
        <v>77</v>
      </c>
      <c r="D7" s="65" t="s">
        <v>18</v>
      </c>
      <c r="E7" s="66">
        <v>7200</v>
      </c>
      <c r="F7" s="71">
        <v>1</v>
      </c>
      <c r="G7" s="68">
        <f>E7*F7</f>
        <v>7200</v>
      </c>
    </row>
    <row r="8" spans="1:7" ht="30" x14ac:dyDescent="0.25">
      <c r="A8" s="62">
        <v>2.2000000000000002</v>
      </c>
      <c r="B8" s="63" t="s">
        <v>78</v>
      </c>
      <c r="C8" s="64" t="s">
        <v>79</v>
      </c>
      <c r="D8" s="65" t="s">
        <v>18</v>
      </c>
      <c r="E8" s="66">
        <v>7200</v>
      </c>
      <c r="F8" s="71">
        <v>3</v>
      </c>
      <c r="G8" s="68">
        <f t="shared" ref="G8:G10" si="0">E8*F8</f>
        <v>21600</v>
      </c>
    </row>
    <row r="9" spans="1:7" ht="75" x14ac:dyDescent="0.25">
      <c r="A9" s="62">
        <v>2.2999999999999998</v>
      </c>
      <c r="B9" s="69" t="s">
        <v>80</v>
      </c>
      <c r="C9" s="64" t="s">
        <v>81</v>
      </c>
      <c r="D9" s="65" t="s">
        <v>18</v>
      </c>
      <c r="E9" s="66">
        <v>7200</v>
      </c>
      <c r="F9" s="71">
        <v>1</v>
      </c>
      <c r="G9" s="68">
        <f t="shared" si="0"/>
        <v>7200</v>
      </c>
    </row>
    <row r="10" spans="1:7" ht="225" x14ac:dyDescent="0.25">
      <c r="A10" s="72">
        <v>2.4</v>
      </c>
      <c r="B10" s="73" t="s">
        <v>82</v>
      </c>
      <c r="C10" s="74" t="s">
        <v>83</v>
      </c>
      <c r="D10" s="75" t="s">
        <v>18</v>
      </c>
      <c r="E10" s="76">
        <v>7200</v>
      </c>
      <c r="F10" s="77">
        <v>92</v>
      </c>
      <c r="G10" s="78">
        <f t="shared" si="0"/>
        <v>662400</v>
      </c>
    </row>
    <row r="11" spans="1:7" ht="45" x14ac:dyDescent="0.25">
      <c r="A11" s="62">
        <v>2.5</v>
      </c>
      <c r="B11" s="69" t="s">
        <v>40</v>
      </c>
      <c r="C11" s="64" t="s">
        <v>84</v>
      </c>
      <c r="D11" s="65" t="s">
        <v>21</v>
      </c>
      <c r="E11" s="66">
        <v>360</v>
      </c>
      <c r="F11" s="71">
        <v>280</v>
      </c>
      <c r="G11" s="68">
        <f>E11*F11</f>
        <v>100800</v>
      </c>
    </row>
    <row r="12" spans="1:7" ht="18.75" x14ac:dyDescent="0.25">
      <c r="A12" s="79">
        <v>3</v>
      </c>
      <c r="B12" s="144" t="s">
        <v>85</v>
      </c>
      <c r="C12" s="144"/>
      <c r="D12" s="144"/>
      <c r="E12" s="144"/>
      <c r="F12" s="144"/>
      <c r="G12" s="145"/>
    </row>
    <row r="13" spans="1:7" x14ac:dyDescent="0.25">
      <c r="A13" s="62">
        <v>3.1</v>
      </c>
      <c r="B13" s="69" t="s">
        <v>42</v>
      </c>
      <c r="C13" s="64" t="s">
        <v>86</v>
      </c>
      <c r="D13" s="65" t="s">
        <v>87</v>
      </c>
      <c r="E13" s="66">
        <v>240</v>
      </c>
      <c r="F13" s="71">
        <v>720</v>
      </c>
      <c r="G13" s="68">
        <f>E13*F13</f>
        <v>172800</v>
      </c>
    </row>
    <row r="14" spans="1:7" ht="18.75" x14ac:dyDescent="0.25">
      <c r="A14" s="61">
        <v>4</v>
      </c>
      <c r="B14" s="139" t="s">
        <v>88</v>
      </c>
      <c r="C14" s="139"/>
      <c r="D14" s="139"/>
      <c r="E14" s="139"/>
      <c r="F14" s="139"/>
      <c r="G14" s="140"/>
    </row>
    <row r="15" spans="1:7" ht="122.25" x14ac:dyDescent="0.25">
      <c r="A15" s="80">
        <v>4.0999999999999996</v>
      </c>
      <c r="B15" s="63" t="s">
        <v>89</v>
      </c>
      <c r="C15" s="81" t="s">
        <v>90</v>
      </c>
      <c r="D15" s="65" t="s">
        <v>18</v>
      </c>
      <c r="E15" s="65">
        <v>7200</v>
      </c>
      <c r="F15" s="71">
        <v>57</v>
      </c>
      <c r="G15" s="82">
        <f>E15*F15</f>
        <v>410400</v>
      </c>
    </row>
    <row r="16" spans="1:7" ht="18.75" x14ac:dyDescent="0.3">
      <c r="A16" s="61">
        <v>5</v>
      </c>
      <c r="B16" s="130" t="s">
        <v>91</v>
      </c>
      <c r="C16" s="130"/>
      <c r="D16" s="130"/>
      <c r="E16" s="130"/>
      <c r="F16" s="130"/>
      <c r="G16" s="131"/>
    </row>
    <row r="17" spans="1:7" ht="75" x14ac:dyDescent="0.25">
      <c r="A17" s="80">
        <v>5.0999999999999996</v>
      </c>
      <c r="B17" s="63" t="s">
        <v>92</v>
      </c>
      <c r="C17" s="83" t="s">
        <v>93</v>
      </c>
      <c r="D17" s="65" t="s">
        <v>94</v>
      </c>
      <c r="E17" s="65">
        <v>1</v>
      </c>
      <c r="F17" s="84">
        <v>49500</v>
      </c>
      <c r="G17" s="85">
        <f>E17*F17</f>
        <v>49500</v>
      </c>
    </row>
    <row r="18" spans="1:7" ht="15.75" x14ac:dyDescent="0.25">
      <c r="A18" s="86">
        <v>6</v>
      </c>
      <c r="B18" s="132" t="s">
        <v>95</v>
      </c>
      <c r="C18" s="132"/>
      <c r="D18" s="132"/>
      <c r="E18" s="132"/>
      <c r="F18" s="132"/>
      <c r="G18" s="133"/>
    </row>
    <row r="19" spans="1:7" ht="120" x14ac:dyDescent="0.25">
      <c r="A19" s="80">
        <v>6.1</v>
      </c>
      <c r="B19" s="63" t="s">
        <v>95</v>
      </c>
      <c r="C19" s="83" t="s">
        <v>96</v>
      </c>
      <c r="D19" s="87" t="s">
        <v>18</v>
      </c>
      <c r="E19" s="65">
        <f>360*12</f>
        <v>4320</v>
      </c>
      <c r="F19" s="84">
        <v>118</v>
      </c>
      <c r="G19" s="85">
        <f>E19*F19</f>
        <v>509760</v>
      </c>
    </row>
    <row r="20" spans="1:7" ht="15.75" x14ac:dyDescent="0.25">
      <c r="A20" s="86">
        <v>7</v>
      </c>
      <c r="B20" s="132" t="s">
        <v>97</v>
      </c>
      <c r="C20" s="132"/>
      <c r="D20" s="132"/>
      <c r="E20" s="132"/>
      <c r="F20" s="132"/>
      <c r="G20" s="133"/>
    </row>
    <row r="21" spans="1:7" ht="75" x14ac:dyDescent="0.25">
      <c r="A21" s="80">
        <v>7.1</v>
      </c>
      <c r="B21" s="63" t="s">
        <v>97</v>
      </c>
      <c r="C21" s="83" t="s">
        <v>98</v>
      </c>
      <c r="D21" s="87" t="s">
        <v>27</v>
      </c>
      <c r="E21" s="65">
        <v>14</v>
      </c>
      <c r="F21" s="84">
        <v>9800</v>
      </c>
      <c r="G21" s="85">
        <f>E21*F21</f>
        <v>137200</v>
      </c>
    </row>
    <row r="22" spans="1:7" x14ac:dyDescent="0.25">
      <c r="A22" s="80"/>
      <c r="B22" s="88"/>
      <c r="C22" s="83"/>
      <c r="D22" s="65"/>
      <c r="E22" s="65"/>
      <c r="F22" s="84"/>
      <c r="G22" s="85"/>
    </row>
    <row r="23" spans="1:7" x14ac:dyDescent="0.25">
      <c r="A23" s="80"/>
      <c r="B23" s="88"/>
      <c r="C23" s="83"/>
      <c r="D23" s="65"/>
      <c r="E23" s="65"/>
      <c r="F23" s="84"/>
      <c r="G23" s="85"/>
    </row>
    <row r="24" spans="1:7" ht="18.75" x14ac:dyDescent="0.25">
      <c r="A24" s="89"/>
      <c r="B24" s="128" t="s">
        <v>99</v>
      </c>
      <c r="C24" s="128"/>
      <c r="D24" s="128"/>
      <c r="E24" s="128"/>
      <c r="F24" s="128"/>
      <c r="G24" s="90">
        <f>SUM(G21,G19,G17,G15,G13,G10,G9,G8,G7,G5)</f>
        <v>1999660</v>
      </c>
    </row>
    <row r="25" spans="1:7" ht="15.75" x14ac:dyDescent="0.25">
      <c r="A25" s="91"/>
      <c r="B25" s="120" t="s">
        <v>100</v>
      </c>
      <c r="C25" s="120"/>
      <c r="D25" s="120"/>
      <c r="E25" s="120"/>
      <c r="F25" s="92">
        <v>0.18</v>
      </c>
      <c r="G25" s="93">
        <f>G24*F25</f>
        <v>359938.8</v>
      </c>
    </row>
    <row r="26" spans="1:7" ht="19.5" thickBot="1" x14ac:dyDescent="0.3">
      <c r="A26" s="94"/>
      <c r="B26" s="121" t="s">
        <v>101</v>
      </c>
      <c r="C26" s="121"/>
      <c r="D26" s="121"/>
      <c r="E26" s="121"/>
      <c r="F26" s="121"/>
      <c r="G26" s="95">
        <f>G24+G25</f>
        <v>2359598.7999999998</v>
      </c>
    </row>
    <row r="27" spans="1:7" x14ac:dyDescent="0.25">
      <c r="A27" s="122" t="s">
        <v>29</v>
      </c>
      <c r="B27" s="123"/>
      <c r="C27" s="123"/>
      <c r="D27" s="123"/>
      <c r="E27" s="124"/>
    </row>
    <row r="28" spans="1:7" x14ac:dyDescent="0.25">
      <c r="A28" s="125" t="s">
        <v>102</v>
      </c>
      <c r="B28" s="126"/>
      <c r="C28" s="126"/>
      <c r="D28" s="126"/>
      <c r="E28" s="127"/>
    </row>
    <row r="29" spans="1:7" x14ac:dyDescent="0.25">
      <c r="A29" s="57" t="s">
        <v>103</v>
      </c>
      <c r="B29" s="57"/>
      <c r="C29" s="52"/>
      <c r="D29" s="51"/>
      <c r="E29" s="52"/>
    </row>
    <row r="30" spans="1:7" x14ac:dyDescent="0.25">
      <c r="C30" s="96"/>
    </row>
  </sheetData>
  <mergeCells count="14">
    <mergeCell ref="A1:G1"/>
    <mergeCell ref="A2:G2"/>
    <mergeCell ref="B4:G4"/>
    <mergeCell ref="B6:G6"/>
    <mergeCell ref="B12:G12"/>
    <mergeCell ref="B26:F26"/>
    <mergeCell ref="A27:E27"/>
    <mergeCell ref="A28:E28"/>
    <mergeCell ref="B14:G14"/>
    <mergeCell ref="B16:G16"/>
    <mergeCell ref="B18:G18"/>
    <mergeCell ref="B20:G20"/>
    <mergeCell ref="B24:F24"/>
    <mergeCell ref="B25:E25"/>
  </mergeCells>
  <dataValidations count="1">
    <dataValidation allowBlank="1" showInputMessage="1" showErrorMessage="1" promptTitle="Item Description" prompt="Please enter Item Description in text" sqref="C7" xr:uid="{3BF3C1F9-F2FC-4F22-9110-D196D9AA70F7}"/>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B19C8-53FE-4F4E-8CD1-31F7961BE9EB}">
  <sheetPr>
    <pageSetUpPr fitToPage="1"/>
  </sheetPr>
  <dimension ref="A1:F42"/>
  <sheetViews>
    <sheetView zoomScale="80" zoomScaleNormal="60" workbookViewId="0">
      <selection activeCell="B1" sqref="B1"/>
    </sheetView>
  </sheetViews>
  <sheetFormatPr defaultColWidth="10.85546875" defaultRowHeight="15" x14ac:dyDescent="0.25"/>
  <cols>
    <col min="1" max="1" width="8" style="19" customWidth="1"/>
    <col min="2" max="2" width="61.42578125" style="8" customWidth="1"/>
    <col min="3" max="4" width="11.42578125" style="8" customWidth="1"/>
    <col min="5" max="5" width="13.85546875" style="8" customWidth="1"/>
    <col min="6" max="6" width="20.140625" style="20" customWidth="1"/>
  </cols>
  <sheetData>
    <row r="1" spans="1:6" ht="16.5" thickBot="1" x14ac:dyDescent="0.3">
      <c r="A1" s="46" t="s">
        <v>16</v>
      </c>
      <c r="B1" s="44"/>
      <c r="C1" s="43" t="s">
        <v>17</v>
      </c>
      <c r="D1" s="45"/>
      <c r="E1" s="43"/>
      <c r="F1" s="47"/>
    </row>
    <row r="2" spans="1:6" ht="15.75" x14ac:dyDescent="0.25">
      <c r="A2" s="149" t="s">
        <v>64</v>
      </c>
      <c r="B2" s="150"/>
      <c r="C2" s="150"/>
      <c r="D2" s="150"/>
      <c r="E2" s="150"/>
      <c r="F2" s="151"/>
    </row>
    <row r="3" spans="1:6" ht="15.75" x14ac:dyDescent="0.25">
      <c r="A3" s="21" t="s">
        <v>2</v>
      </c>
      <c r="B3" s="9" t="s">
        <v>3</v>
      </c>
      <c r="C3" s="9" t="s">
        <v>5</v>
      </c>
      <c r="D3" s="9" t="s">
        <v>4</v>
      </c>
      <c r="E3" s="9" t="s">
        <v>6</v>
      </c>
      <c r="F3" s="22" t="s">
        <v>0</v>
      </c>
    </row>
    <row r="4" spans="1:6" ht="15.75" x14ac:dyDescent="0.25">
      <c r="A4" s="21"/>
      <c r="B4" s="9"/>
      <c r="C4" s="9"/>
      <c r="D4" s="9"/>
      <c r="E4" s="9"/>
      <c r="F4" s="22"/>
    </row>
    <row r="5" spans="1:6" ht="15.75" x14ac:dyDescent="0.25">
      <c r="A5" s="39" t="s">
        <v>38</v>
      </c>
      <c r="B5" s="35" t="s">
        <v>52</v>
      </c>
      <c r="C5" s="38"/>
      <c r="D5" s="40"/>
      <c r="E5" s="41"/>
      <c r="F5" s="42"/>
    </row>
    <row r="6" spans="1:6" ht="47.25" x14ac:dyDescent="0.25">
      <c r="A6" s="23"/>
      <c r="B6" s="10" t="s">
        <v>53</v>
      </c>
      <c r="C6" s="36" t="s">
        <v>18</v>
      </c>
      <c r="D6" s="37">
        <v>4056</v>
      </c>
      <c r="E6" s="16">
        <v>4</v>
      </c>
      <c r="F6" s="24">
        <f>E6*D6</f>
        <v>16224</v>
      </c>
    </row>
    <row r="7" spans="1:6" ht="47.25" x14ac:dyDescent="0.25">
      <c r="A7" s="23"/>
      <c r="B7" s="10" t="s">
        <v>54</v>
      </c>
      <c r="C7" s="36" t="s">
        <v>57</v>
      </c>
      <c r="D7" s="37">
        <v>90</v>
      </c>
      <c r="E7" s="16">
        <v>145</v>
      </c>
      <c r="F7" s="24">
        <f>E7*D7</f>
        <v>13050</v>
      </c>
    </row>
    <row r="8" spans="1:6" ht="78.75" x14ac:dyDescent="0.25">
      <c r="A8" s="23"/>
      <c r="B8" s="10" t="s">
        <v>58</v>
      </c>
      <c r="C8" s="36" t="s">
        <v>57</v>
      </c>
      <c r="D8" s="37">
        <v>90</v>
      </c>
      <c r="E8" s="16">
        <v>125</v>
      </c>
      <c r="F8" s="24">
        <f>E8*D8</f>
        <v>11250</v>
      </c>
    </row>
    <row r="9" spans="1:6" ht="47.25" x14ac:dyDescent="0.25">
      <c r="A9" s="23"/>
      <c r="B9" s="10" t="s">
        <v>55</v>
      </c>
      <c r="C9" s="36" t="s">
        <v>18</v>
      </c>
      <c r="D9" s="37">
        <v>4056</v>
      </c>
      <c r="E9" s="16">
        <v>5</v>
      </c>
      <c r="F9" s="24">
        <f>E9*D9</f>
        <v>20280</v>
      </c>
    </row>
    <row r="10" spans="1:6" ht="78.75" x14ac:dyDescent="0.25">
      <c r="A10" s="23"/>
      <c r="B10" s="10" t="s">
        <v>56</v>
      </c>
      <c r="C10" s="36" t="s">
        <v>18</v>
      </c>
      <c r="D10" s="37">
        <v>4056</v>
      </c>
      <c r="E10" s="16">
        <v>6</v>
      </c>
      <c r="F10" s="24">
        <f>E10*D10</f>
        <v>24336</v>
      </c>
    </row>
    <row r="11" spans="1:6" ht="15.75" x14ac:dyDescent="0.25">
      <c r="A11" s="21"/>
      <c r="B11" s="9"/>
      <c r="C11" s="9"/>
      <c r="D11" s="9"/>
      <c r="E11" s="9"/>
      <c r="F11" s="22"/>
    </row>
    <row r="12" spans="1:6" ht="15.75" x14ac:dyDescent="0.25">
      <c r="A12" s="39" t="s">
        <v>38</v>
      </c>
      <c r="B12" s="35" t="s">
        <v>48</v>
      </c>
      <c r="C12" s="38"/>
      <c r="D12" s="40"/>
      <c r="E12" s="41"/>
      <c r="F12" s="42"/>
    </row>
    <row r="13" spans="1:6" ht="131.44999999999999" customHeight="1" x14ac:dyDescent="0.25">
      <c r="A13" s="23"/>
      <c r="B13" s="10" t="s">
        <v>49</v>
      </c>
      <c r="C13" s="36" t="s">
        <v>18</v>
      </c>
      <c r="D13" s="37">
        <v>4056</v>
      </c>
      <c r="E13" s="16">
        <v>79</v>
      </c>
      <c r="F13" s="24">
        <f>E13*D13</f>
        <v>320424</v>
      </c>
    </row>
    <row r="14" spans="1:6" ht="15.75" x14ac:dyDescent="0.25">
      <c r="A14" s="23"/>
      <c r="B14" s="10"/>
      <c r="C14" s="36"/>
      <c r="D14" s="37"/>
      <c r="E14" s="16"/>
      <c r="F14" s="24"/>
    </row>
    <row r="15" spans="1:6" ht="15.75" x14ac:dyDescent="0.25">
      <c r="A15" s="23" t="s">
        <v>22</v>
      </c>
      <c r="B15" s="35" t="s">
        <v>63</v>
      </c>
      <c r="C15" s="36"/>
      <c r="D15" s="37"/>
      <c r="E15" s="16"/>
      <c r="F15" s="24"/>
    </row>
    <row r="16" spans="1:6" ht="252" x14ac:dyDescent="0.25">
      <c r="A16" s="23"/>
      <c r="B16" s="10" t="s">
        <v>65</v>
      </c>
      <c r="C16" s="36" t="s">
        <v>18</v>
      </c>
      <c r="D16" s="16">
        <v>4056</v>
      </c>
      <c r="E16" s="16">
        <v>113</v>
      </c>
      <c r="F16" s="24">
        <f>D16*E16</f>
        <v>458328</v>
      </c>
    </row>
    <row r="17" spans="1:6" ht="15.75" x14ac:dyDescent="0.25">
      <c r="A17" s="23"/>
      <c r="B17" s="10"/>
      <c r="C17" s="36"/>
      <c r="D17" s="37"/>
      <c r="E17" s="16"/>
      <c r="F17" s="24"/>
    </row>
    <row r="18" spans="1:6" ht="15.75" x14ac:dyDescent="0.25">
      <c r="A18" s="23" t="s">
        <v>24</v>
      </c>
      <c r="B18" s="35" t="s">
        <v>23</v>
      </c>
      <c r="C18" s="36"/>
      <c r="D18" s="37"/>
      <c r="E18" s="16"/>
      <c r="F18" s="24"/>
    </row>
    <row r="19" spans="1:6" ht="94.5" x14ac:dyDescent="0.25">
      <c r="A19" s="23"/>
      <c r="B19" s="10" t="s">
        <v>51</v>
      </c>
      <c r="C19" s="36" t="s">
        <v>18</v>
      </c>
      <c r="D19" s="48">
        <v>6500</v>
      </c>
      <c r="E19" s="16">
        <v>92</v>
      </c>
      <c r="F19" s="24">
        <f>E19*D19</f>
        <v>598000</v>
      </c>
    </row>
    <row r="20" spans="1:6" ht="15.75" x14ac:dyDescent="0.25">
      <c r="A20" s="23"/>
      <c r="B20" s="10"/>
      <c r="C20" s="36"/>
      <c r="D20" s="37"/>
      <c r="E20" s="16"/>
      <c r="F20" s="24"/>
    </row>
    <row r="21" spans="1:6" ht="15.75" x14ac:dyDescent="0.25">
      <c r="A21" s="23" t="s">
        <v>19</v>
      </c>
      <c r="B21" s="35" t="s">
        <v>25</v>
      </c>
      <c r="C21" s="36"/>
      <c r="D21" s="37"/>
      <c r="E21" s="16"/>
      <c r="F21" s="24"/>
    </row>
    <row r="22" spans="1:6" ht="47.25" x14ac:dyDescent="0.25">
      <c r="A22" s="23"/>
      <c r="B22" s="10" t="s">
        <v>41</v>
      </c>
      <c r="C22" s="36" t="s">
        <v>18</v>
      </c>
      <c r="D22" s="37">
        <v>5820</v>
      </c>
      <c r="E22" s="16">
        <v>15</v>
      </c>
      <c r="F22" s="24">
        <f>E22*D22</f>
        <v>87300</v>
      </c>
    </row>
    <row r="23" spans="1:6" ht="47.25" x14ac:dyDescent="0.25">
      <c r="A23" s="23"/>
      <c r="B23" s="10" t="s">
        <v>44</v>
      </c>
      <c r="C23" s="36" t="s">
        <v>18</v>
      </c>
      <c r="D23" s="37">
        <v>2460</v>
      </c>
      <c r="E23" s="16">
        <v>15</v>
      </c>
      <c r="F23" s="24">
        <f>E23*D23</f>
        <v>36900</v>
      </c>
    </row>
    <row r="24" spans="1:6" ht="15.75" x14ac:dyDescent="0.25">
      <c r="A24" s="23"/>
      <c r="B24" s="10"/>
      <c r="C24" s="36"/>
      <c r="D24" s="37"/>
      <c r="E24" s="16"/>
      <c r="F24" s="24"/>
    </row>
    <row r="25" spans="1:6" ht="15.75" x14ac:dyDescent="0.25">
      <c r="A25" s="23" t="s">
        <v>20</v>
      </c>
      <c r="B25" s="35" t="s">
        <v>26</v>
      </c>
      <c r="C25" s="36"/>
      <c r="D25" s="37"/>
      <c r="E25" s="16"/>
      <c r="F25" s="24"/>
    </row>
    <row r="26" spans="1:6" ht="78.75" x14ac:dyDescent="0.25">
      <c r="A26" s="23"/>
      <c r="B26" s="10" t="s">
        <v>61</v>
      </c>
      <c r="C26" s="36" t="s">
        <v>27</v>
      </c>
      <c r="D26" s="37">
        <v>12</v>
      </c>
      <c r="E26" s="16">
        <v>12100</v>
      </c>
      <c r="F26" s="24">
        <f>E26*D26</f>
        <v>145200</v>
      </c>
    </row>
    <row r="27" spans="1:6" ht="15.75" x14ac:dyDescent="0.25">
      <c r="A27" s="23"/>
      <c r="B27" s="10"/>
      <c r="C27" s="36"/>
      <c r="D27" s="37"/>
      <c r="E27" s="16"/>
      <c r="F27" s="24"/>
    </row>
    <row r="28" spans="1:6" ht="15.75" x14ac:dyDescent="0.25">
      <c r="A28" s="25"/>
      <c r="B28" s="12"/>
      <c r="C28" s="11"/>
      <c r="D28" s="15"/>
      <c r="E28" s="11"/>
      <c r="F28" s="26"/>
    </row>
    <row r="29" spans="1:6" ht="15.75" x14ac:dyDescent="0.25">
      <c r="A29" s="27"/>
      <c r="B29" s="13" t="s">
        <v>28</v>
      </c>
      <c r="C29" s="13"/>
      <c r="D29" s="17"/>
      <c r="E29" s="13"/>
      <c r="F29" s="28">
        <f>SUM(F4:F26)</f>
        <v>1731292</v>
      </c>
    </row>
    <row r="30" spans="1:6" ht="15.75" x14ac:dyDescent="0.25">
      <c r="A30" s="29"/>
      <c r="B30" s="14" t="s">
        <v>7</v>
      </c>
      <c r="C30" s="14"/>
      <c r="D30" s="18"/>
      <c r="E30" s="14"/>
      <c r="F30" s="28">
        <f>F29*18%</f>
        <v>311632.56</v>
      </c>
    </row>
    <row r="31" spans="1:6" ht="16.5" thickBot="1" x14ac:dyDescent="0.3">
      <c r="A31" s="30"/>
      <c r="B31" s="31" t="s">
        <v>1</v>
      </c>
      <c r="C31" s="32"/>
      <c r="D31" s="33"/>
      <c r="E31" s="32"/>
      <c r="F31" s="34">
        <f>SUM(F29:F30)</f>
        <v>2042924.56</v>
      </c>
    </row>
    <row r="32" spans="1:6" x14ac:dyDescent="0.25">
      <c r="A32" s="152" t="s">
        <v>29</v>
      </c>
      <c r="B32" s="152"/>
      <c r="C32" s="152"/>
      <c r="D32" s="152"/>
      <c r="E32" s="152"/>
    </row>
    <row r="33" spans="1:5" x14ac:dyDescent="0.25">
      <c r="A33" s="153" t="s">
        <v>30</v>
      </c>
      <c r="B33" s="153"/>
      <c r="C33" s="153"/>
      <c r="D33" s="153"/>
      <c r="E33" s="153"/>
    </row>
    <row r="34" spans="1:5" x14ac:dyDescent="0.25">
      <c r="A34" s="49" t="s">
        <v>31</v>
      </c>
      <c r="B34" s="49"/>
      <c r="C34" s="50"/>
      <c r="D34" s="51"/>
      <c r="E34" s="52"/>
    </row>
    <row r="35" spans="1:5" x14ac:dyDescent="0.25">
      <c r="A35" s="49" t="s">
        <v>46</v>
      </c>
      <c r="B35" s="49"/>
      <c r="C35" s="50"/>
      <c r="D35" s="51"/>
      <c r="E35" s="52"/>
    </row>
    <row r="36" spans="1:5" x14ac:dyDescent="0.25">
      <c r="A36" s="49" t="s">
        <v>32</v>
      </c>
      <c r="B36" s="49"/>
      <c r="C36" s="52"/>
      <c r="D36" s="51"/>
      <c r="E36" s="52"/>
    </row>
    <row r="37" spans="1:5" x14ac:dyDescent="0.25">
      <c r="A37" s="49" t="s">
        <v>33</v>
      </c>
      <c r="B37" s="49"/>
      <c r="C37" s="52"/>
      <c r="D37" s="51"/>
      <c r="E37" s="52"/>
    </row>
    <row r="38" spans="1:5" x14ac:dyDescent="0.25">
      <c r="A38" s="53" t="s">
        <v>34</v>
      </c>
      <c r="B38" s="54"/>
      <c r="C38" s="55"/>
      <c r="D38" s="56"/>
      <c r="E38" s="55"/>
    </row>
    <row r="39" spans="1:5" x14ac:dyDescent="0.25">
      <c r="A39" s="49" t="s">
        <v>35</v>
      </c>
      <c r="B39" s="49"/>
      <c r="C39" s="55"/>
      <c r="D39" s="56"/>
      <c r="E39" s="55"/>
    </row>
    <row r="40" spans="1:5" x14ac:dyDescent="0.25">
      <c r="A40" s="49" t="s">
        <v>36</v>
      </c>
      <c r="B40" s="49"/>
      <c r="C40" s="55"/>
      <c r="D40" s="56"/>
      <c r="E40" s="55"/>
    </row>
    <row r="41" spans="1:5" x14ac:dyDescent="0.25">
      <c r="A41" s="49" t="s">
        <v>37</v>
      </c>
      <c r="B41" s="49"/>
      <c r="C41" s="55"/>
      <c r="D41" s="56"/>
      <c r="E41" s="55"/>
    </row>
    <row r="42" spans="1:5" ht="35.1" customHeight="1" x14ac:dyDescent="0.25">
      <c r="A42" s="146" t="s">
        <v>47</v>
      </c>
      <c r="B42" s="147"/>
      <c r="C42" s="147"/>
      <c r="D42" s="147"/>
      <c r="E42" s="148"/>
    </row>
  </sheetData>
  <protectedRanges>
    <protectedRange sqref="E16" name="Range1_1_1"/>
  </protectedRanges>
  <mergeCells count="4">
    <mergeCell ref="A42:E42"/>
    <mergeCell ref="A2:F2"/>
    <mergeCell ref="A32:E32"/>
    <mergeCell ref="A33:E33"/>
  </mergeCells>
  <pageMargins left="0.70866141732283472" right="0.70866141732283472" top="0.74803149606299213" bottom="0.74803149606299213" header="0.31496062992125984" footer="0.31496062992125984"/>
  <pageSetup paperSize="9" scale="5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F324-6CAA-4FC2-9CF9-2A7F458FBCB6}">
  <dimension ref="A1:F45"/>
  <sheetViews>
    <sheetView workbookViewId="0">
      <selection activeCell="B6" sqref="B6"/>
    </sheetView>
  </sheetViews>
  <sheetFormatPr defaultRowHeight="15" x14ac:dyDescent="0.25"/>
  <cols>
    <col min="1" max="1" width="8" style="19" customWidth="1"/>
    <col min="2" max="2" width="61.42578125" style="8" customWidth="1"/>
    <col min="3" max="4" width="11.42578125" style="8" customWidth="1"/>
    <col min="5" max="5" width="13.85546875" style="8" customWidth="1"/>
    <col min="6" max="6" width="20.140625" style="118" customWidth="1"/>
  </cols>
  <sheetData>
    <row r="1" spans="1:6" ht="15.75" x14ac:dyDescent="0.25">
      <c r="A1" s="154" t="s">
        <v>120</v>
      </c>
      <c r="B1" s="155"/>
      <c r="C1" s="155"/>
      <c r="D1" s="155"/>
      <c r="E1" s="155"/>
      <c r="F1" s="156"/>
    </row>
    <row r="2" spans="1:6" ht="15.75" x14ac:dyDescent="0.25">
      <c r="A2" s="99" t="s">
        <v>2</v>
      </c>
      <c r="B2" s="100" t="s">
        <v>3</v>
      </c>
      <c r="C2" s="100" t="s">
        <v>5</v>
      </c>
      <c r="D2" s="100" t="s">
        <v>4</v>
      </c>
      <c r="E2" s="100" t="s">
        <v>6</v>
      </c>
      <c r="F2" s="101" t="s">
        <v>0</v>
      </c>
    </row>
    <row r="3" spans="1:6" ht="15.75" x14ac:dyDescent="0.25">
      <c r="A3" s="23">
        <v>1</v>
      </c>
      <c r="B3" s="102" t="s">
        <v>108</v>
      </c>
      <c r="C3" s="36"/>
      <c r="D3" s="37"/>
      <c r="E3" s="16"/>
      <c r="F3" s="103"/>
    </row>
    <row r="4" spans="1:6" ht="47.25" x14ac:dyDescent="0.25">
      <c r="A4" s="23">
        <v>1.1000000000000001</v>
      </c>
      <c r="B4" s="10" t="s">
        <v>53</v>
      </c>
      <c r="C4" s="36" t="s">
        <v>18</v>
      </c>
      <c r="D4" s="16">
        <v>8400</v>
      </c>
      <c r="E4" s="16">
        <v>1</v>
      </c>
      <c r="F4" s="103">
        <f t="shared" ref="F4:F9" si="0">E4*D4</f>
        <v>8400</v>
      </c>
    </row>
    <row r="5" spans="1:6" ht="78.75" x14ac:dyDescent="0.25">
      <c r="A5" s="23">
        <v>1.2</v>
      </c>
      <c r="B5" s="10" t="s">
        <v>109</v>
      </c>
      <c r="C5" s="36" t="s">
        <v>18</v>
      </c>
      <c r="D5" s="16">
        <v>8400</v>
      </c>
      <c r="E5" s="16">
        <v>3</v>
      </c>
      <c r="F5" s="103">
        <f t="shared" si="0"/>
        <v>25200</v>
      </c>
    </row>
    <row r="6" spans="1:6" ht="47.25" x14ac:dyDescent="0.25">
      <c r="A6" s="23">
        <v>1.3</v>
      </c>
      <c r="B6" s="10" t="s">
        <v>110</v>
      </c>
      <c r="C6" s="36" t="s">
        <v>18</v>
      </c>
      <c r="D6" s="16">
        <v>8400</v>
      </c>
      <c r="E6" s="16">
        <v>2</v>
      </c>
      <c r="F6" s="103">
        <f t="shared" si="0"/>
        <v>16800</v>
      </c>
    </row>
    <row r="7" spans="1:6" ht="63" x14ac:dyDescent="0.25">
      <c r="A7" s="23">
        <v>1.4</v>
      </c>
      <c r="B7" s="10" t="s">
        <v>111</v>
      </c>
      <c r="C7" s="36" t="s">
        <v>87</v>
      </c>
      <c r="D7" s="16">
        <v>60</v>
      </c>
      <c r="E7" s="16">
        <v>2100</v>
      </c>
      <c r="F7" s="103">
        <f t="shared" si="0"/>
        <v>126000</v>
      </c>
    </row>
    <row r="8" spans="1:6" ht="110.25" x14ac:dyDescent="0.25">
      <c r="A8" s="23">
        <v>1.5</v>
      </c>
      <c r="B8" s="10" t="s">
        <v>112</v>
      </c>
      <c r="C8" s="36" t="s">
        <v>18</v>
      </c>
      <c r="D8" s="16">
        <v>8400</v>
      </c>
      <c r="E8" s="16">
        <v>5</v>
      </c>
      <c r="F8" s="103">
        <f t="shared" si="0"/>
        <v>42000</v>
      </c>
    </row>
    <row r="9" spans="1:6" ht="189" x14ac:dyDescent="0.25">
      <c r="A9" s="23">
        <v>1.6</v>
      </c>
      <c r="B9" s="10" t="s">
        <v>113</v>
      </c>
      <c r="C9" s="36" t="s">
        <v>18</v>
      </c>
      <c r="D9" s="16">
        <v>8400</v>
      </c>
      <c r="E9" s="16">
        <v>62</v>
      </c>
      <c r="F9" s="103">
        <f t="shared" si="0"/>
        <v>520800</v>
      </c>
    </row>
    <row r="10" spans="1:6" ht="15.75" x14ac:dyDescent="0.25">
      <c r="A10" s="23"/>
      <c r="B10" s="10"/>
      <c r="C10" s="36"/>
      <c r="D10" s="16"/>
      <c r="E10" s="16"/>
      <c r="F10" s="103"/>
    </row>
    <row r="11" spans="1:6" ht="15.75" x14ac:dyDescent="0.25">
      <c r="A11" s="23"/>
      <c r="B11" s="10"/>
      <c r="C11" s="36"/>
      <c r="D11" s="16"/>
      <c r="E11" s="16"/>
      <c r="F11" s="103"/>
    </row>
    <row r="12" spans="1:6" ht="15.75" x14ac:dyDescent="0.25">
      <c r="A12" s="23">
        <v>2</v>
      </c>
      <c r="B12" s="104" t="s">
        <v>114</v>
      </c>
      <c r="C12" s="36"/>
      <c r="D12" s="37"/>
      <c r="E12" s="16"/>
      <c r="F12" s="103"/>
    </row>
    <row r="13" spans="1:6" ht="204.75" x14ac:dyDescent="0.25">
      <c r="A13" s="23"/>
      <c r="B13" s="10" t="s">
        <v>115</v>
      </c>
      <c r="C13" s="36" t="s">
        <v>18</v>
      </c>
      <c r="D13" s="16">
        <v>8400</v>
      </c>
      <c r="E13" s="16">
        <v>112</v>
      </c>
      <c r="F13" s="103">
        <f>D13*E13</f>
        <v>940800</v>
      </c>
    </row>
    <row r="14" spans="1:6" ht="15.75" x14ac:dyDescent="0.25">
      <c r="A14" s="23"/>
      <c r="B14" s="10"/>
      <c r="C14" s="36"/>
      <c r="D14" s="37"/>
      <c r="E14" s="16"/>
      <c r="F14" s="103"/>
    </row>
    <row r="15" spans="1:6" ht="15.75" x14ac:dyDescent="0.25">
      <c r="A15" s="23">
        <v>3</v>
      </c>
      <c r="B15" s="104" t="s">
        <v>23</v>
      </c>
      <c r="C15" s="36"/>
      <c r="D15" s="37"/>
      <c r="E15" s="16"/>
      <c r="F15" s="103"/>
    </row>
    <row r="16" spans="1:6" ht="94.5" x14ac:dyDescent="0.25">
      <c r="A16" s="23"/>
      <c r="B16" s="10" t="s">
        <v>116</v>
      </c>
      <c r="C16" s="36" t="s">
        <v>18</v>
      </c>
      <c r="D16" s="37">
        <f>380*25</f>
        <v>9500</v>
      </c>
      <c r="E16" s="16">
        <v>81</v>
      </c>
      <c r="F16" s="103">
        <f>E16*D16</f>
        <v>769500</v>
      </c>
    </row>
    <row r="17" spans="1:6" ht="15.75" x14ac:dyDescent="0.25">
      <c r="A17" s="23"/>
      <c r="B17" s="10"/>
      <c r="C17" s="36"/>
      <c r="D17" s="37"/>
      <c r="E17" s="16"/>
      <c r="F17" s="103"/>
    </row>
    <row r="18" spans="1:6" ht="15.75" x14ac:dyDescent="0.25">
      <c r="A18" s="23">
        <v>4</v>
      </c>
      <c r="B18" s="104" t="s">
        <v>25</v>
      </c>
      <c r="C18" s="36"/>
      <c r="D18" s="37"/>
      <c r="E18" s="16"/>
      <c r="F18" s="103"/>
    </row>
    <row r="19" spans="1:6" ht="47.25" x14ac:dyDescent="0.25">
      <c r="A19" s="23"/>
      <c r="B19" s="10" t="s">
        <v>117</v>
      </c>
      <c r="C19" s="36" t="s">
        <v>18</v>
      </c>
      <c r="D19" s="37">
        <v>8400</v>
      </c>
      <c r="E19" s="16">
        <v>15</v>
      </c>
      <c r="F19" s="103">
        <f>E19*D19</f>
        <v>126000</v>
      </c>
    </row>
    <row r="20" spans="1:6" ht="15.75" x14ac:dyDescent="0.25">
      <c r="A20" s="23"/>
      <c r="B20" s="10" t="s">
        <v>118</v>
      </c>
      <c r="C20" s="36" t="s">
        <v>18</v>
      </c>
      <c r="D20" s="37">
        <v>9500</v>
      </c>
      <c r="E20" s="16">
        <v>16</v>
      </c>
      <c r="F20" s="103">
        <f>E20*D20</f>
        <v>152000</v>
      </c>
    </row>
    <row r="21" spans="1:6" ht="15.75" x14ac:dyDescent="0.25">
      <c r="A21" s="23"/>
      <c r="B21" s="10"/>
      <c r="C21" s="36"/>
      <c r="D21" s="37"/>
      <c r="E21" s="16"/>
      <c r="F21" s="103"/>
    </row>
    <row r="22" spans="1:6" ht="15.75" x14ac:dyDescent="0.25">
      <c r="A22" s="23"/>
      <c r="B22" s="10"/>
      <c r="C22" s="36"/>
      <c r="D22" s="37"/>
      <c r="E22" s="16"/>
      <c r="F22" s="103"/>
    </row>
    <row r="23" spans="1:6" ht="15.75" x14ac:dyDescent="0.25">
      <c r="A23" s="23">
        <v>5</v>
      </c>
      <c r="B23" s="104" t="s">
        <v>26</v>
      </c>
      <c r="C23" s="36"/>
      <c r="D23" s="37"/>
      <c r="E23" s="16"/>
      <c r="F23" s="103"/>
    </row>
    <row r="24" spans="1:6" ht="78.75" x14ac:dyDescent="0.25">
      <c r="A24" s="23"/>
      <c r="B24" s="10" t="s">
        <v>119</v>
      </c>
      <c r="C24" s="36" t="s">
        <v>27</v>
      </c>
      <c r="D24" s="37">
        <v>20</v>
      </c>
      <c r="E24" s="16">
        <v>11200</v>
      </c>
      <c r="F24" s="103">
        <f>E24*D24</f>
        <v>224000</v>
      </c>
    </row>
    <row r="25" spans="1:6" ht="15.75" x14ac:dyDescent="0.25">
      <c r="A25" s="23"/>
      <c r="B25" s="10"/>
      <c r="C25" s="36"/>
      <c r="D25" s="37"/>
      <c r="E25" s="16"/>
      <c r="F25" s="103"/>
    </row>
    <row r="26" spans="1:6" ht="15.75" x14ac:dyDescent="0.25">
      <c r="A26" s="105"/>
      <c r="B26" s="104"/>
      <c r="C26" s="106"/>
      <c r="D26" s="107"/>
      <c r="E26" s="106"/>
      <c r="F26" s="108"/>
    </row>
    <row r="27" spans="1:6" ht="15.75" x14ac:dyDescent="0.25">
      <c r="A27" s="27"/>
      <c r="B27" s="13" t="s">
        <v>28</v>
      </c>
      <c r="C27" s="13"/>
      <c r="D27" s="17"/>
      <c r="E27" s="13"/>
      <c r="F27" s="109">
        <f>SUM(F4:F24)</f>
        <v>2951500</v>
      </c>
    </row>
    <row r="28" spans="1:6" ht="15.75" x14ac:dyDescent="0.25">
      <c r="A28" s="110"/>
      <c r="B28" s="111" t="s">
        <v>7</v>
      </c>
      <c r="C28" s="111"/>
      <c r="D28" s="112"/>
      <c r="E28" s="111"/>
      <c r="F28" s="109">
        <f>F27*18%</f>
        <v>531270</v>
      </c>
    </row>
    <row r="29" spans="1:6" ht="16.5" thickBot="1" x14ac:dyDescent="0.3">
      <c r="A29" s="113"/>
      <c r="B29" s="114" t="s">
        <v>1</v>
      </c>
      <c r="C29" s="115"/>
      <c r="D29" s="116"/>
      <c r="E29" s="115"/>
      <c r="F29" s="117">
        <f>SUM(F27:F28)</f>
        <v>3482770</v>
      </c>
    </row>
    <row r="30" spans="1:6" x14ac:dyDescent="0.25">
      <c r="A30" s="122" t="s">
        <v>29</v>
      </c>
      <c r="B30" s="123"/>
      <c r="C30" s="123"/>
      <c r="D30" s="123"/>
      <c r="E30" s="124"/>
    </row>
    <row r="31" spans="1:6" x14ac:dyDescent="0.25">
      <c r="A31" s="125" t="s">
        <v>102</v>
      </c>
      <c r="B31" s="126"/>
      <c r="C31" s="126"/>
      <c r="D31" s="126"/>
      <c r="E31" s="127"/>
    </row>
    <row r="32" spans="1:6" x14ac:dyDescent="0.25">
      <c r="A32" s="57" t="s">
        <v>103</v>
      </c>
      <c r="B32" s="57"/>
      <c r="C32" s="52"/>
      <c r="D32" s="51"/>
      <c r="E32" s="52"/>
    </row>
    <row r="33" spans="4:4" x14ac:dyDescent="0.25">
      <c r="D33" s="119"/>
    </row>
    <row r="34" spans="4:4" x14ac:dyDescent="0.25">
      <c r="D34" s="119"/>
    </row>
    <row r="35" spans="4:4" x14ac:dyDescent="0.25">
      <c r="D35" s="119"/>
    </row>
    <row r="36" spans="4:4" x14ac:dyDescent="0.25">
      <c r="D36" s="119"/>
    </row>
    <row r="37" spans="4:4" x14ac:dyDescent="0.25">
      <c r="D37" s="119"/>
    </row>
    <row r="38" spans="4:4" x14ac:dyDescent="0.25">
      <c r="D38" s="119"/>
    </row>
    <row r="39" spans="4:4" x14ac:dyDescent="0.25">
      <c r="D39" s="119"/>
    </row>
    <row r="40" spans="4:4" x14ac:dyDescent="0.25">
      <c r="D40" s="119"/>
    </row>
    <row r="41" spans="4:4" x14ac:dyDescent="0.25">
      <c r="D41" s="119"/>
    </row>
    <row r="42" spans="4:4" x14ac:dyDescent="0.25">
      <c r="D42" s="119"/>
    </row>
    <row r="43" spans="4:4" x14ac:dyDescent="0.25">
      <c r="D43" s="119"/>
    </row>
    <row r="44" spans="4:4" x14ac:dyDescent="0.25">
      <c r="D44" s="119"/>
    </row>
    <row r="45" spans="4:4" x14ac:dyDescent="0.25">
      <c r="D45" s="119"/>
    </row>
  </sheetData>
  <protectedRanges>
    <protectedRange sqref="E13 E4:E6" name="Range1_1_1_2"/>
  </protectedRanges>
  <mergeCells count="3">
    <mergeCell ref="A1:F1"/>
    <mergeCell ref="A30:E30"/>
    <mergeCell ref="A31:E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DC25-0275-43A8-BDCD-64DE3B45B279}">
  <sheetPr>
    <pageSetUpPr fitToPage="1"/>
  </sheetPr>
  <dimension ref="A1:F41"/>
  <sheetViews>
    <sheetView zoomScale="80" zoomScaleNormal="80" workbookViewId="0"/>
  </sheetViews>
  <sheetFormatPr defaultColWidth="10.85546875" defaultRowHeight="15" x14ac:dyDescent="0.25"/>
  <cols>
    <col min="1" max="1" width="8" style="19" customWidth="1"/>
    <col min="2" max="2" width="61.42578125" style="8" customWidth="1"/>
    <col min="3" max="4" width="11.42578125" style="8" customWidth="1"/>
    <col min="5" max="5" width="13.85546875" style="8" customWidth="1"/>
    <col min="6" max="6" width="20.140625" style="20" customWidth="1"/>
  </cols>
  <sheetData>
    <row r="1" spans="1:6" ht="16.5" thickBot="1" x14ac:dyDescent="0.3">
      <c r="A1" s="46" t="s">
        <v>16</v>
      </c>
      <c r="B1" s="44"/>
      <c r="C1" s="43" t="s">
        <v>17</v>
      </c>
      <c r="D1" s="45"/>
      <c r="E1" s="43"/>
      <c r="F1" s="47"/>
    </row>
    <row r="2" spans="1:6" ht="15.75" x14ac:dyDescent="0.25">
      <c r="A2" s="149" t="s">
        <v>59</v>
      </c>
      <c r="B2" s="150"/>
      <c r="C2" s="150"/>
      <c r="D2" s="150"/>
      <c r="E2" s="150"/>
      <c r="F2" s="151"/>
    </row>
    <row r="3" spans="1:6" ht="15.75" x14ac:dyDescent="0.25">
      <c r="A3" s="21" t="s">
        <v>2</v>
      </c>
      <c r="B3" s="9" t="s">
        <v>3</v>
      </c>
      <c r="C3" s="9" t="s">
        <v>5</v>
      </c>
      <c r="D3" s="9" t="s">
        <v>4</v>
      </c>
      <c r="E3" s="9" t="s">
        <v>6</v>
      </c>
      <c r="F3" s="22" t="s">
        <v>0</v>
      </c>
    </row>
    <row r="4" spans="1:6" ht="15.75" x14ac:dyDescent="0.25">
      <c r="A4" s="21"/>
      <c r="B4" s="9"/>
      <c r="C4" s="9"/>
      <c r="D4" s="9"/>
      <c r="E4" s="9"/>
      <c r="F4" s="22"/>
    </row>
    <row r="5" spans="1:6" ht="15.75" x14ac:dyDescent="0.25">
      <c r="A5" s="39" t="s">
        <v>38</v>
      </c>
      <c r="B5" s="35" t="s">
        <v>52</v>
      </c>
      <c r="C5" s="38"/>
      <c r="D5" s="40"/>
      <c r="E5" s="41"/>
      <c r="F5" s="42"/>
    </row>
    <row r="6" spans="1:6" ht="47.25" x14ac:dyDescent="0.25">
      <c r="A6" s="23"/>
      <c r="B6" s="10" t="s">
        <v>53</v>
      </c>
      <c r="C6" s="36" t="s">
        <v>18</v>
      </c>
      <c r="D6" s="37">
        <v>2460</v>
      </c>
      <c r="E6" s="16">
        <v>4</v>
      </c>
      <c r="F6" s="24">
        <f>E6*D6</f>
        <v>9840</v>
      </c>
    </row>
    <row r="7" spans="1:6" ht="47.25" x14ac:dyDescent="0.25">
      <c r="A7" s="23"/>
      <c r="B7" s="10" t="s">
        <v>54</v>
      </c>
      <c r="C7" s="36" t="s">
        <v>57</v>
      </c>
      <c r="D7" s="37">
        <v>57</v>
      </c>
      <c r="E7" s="16">
        <v>145</v>
      </c>
      <c r="F7" s="24">
        <f>E7*D7</f>
        <v>8265</v>
      </c>
    </row>
    <row r="8" spans="1:6" ht="78.75" x14ac:dyDescent="0.25">
      <c r="A8" s="23"/>
      <c r="B8" s="10" t="s">
        <v>58</v>
      </c>
      <c r="C8" s="36" t="s">
        <v>57</v>
      </c>
      <c r="D8" s="37">
        <v>57</v>
      </c>
      <c r="E8" s="16">
        <v>125</v>
      </c>
      <c r="F8" s="24">
        <f>E8*D8</f>
        <v>7125</v>
      </c>
    </row>
    <row r="9" spans="1:6" ht="47.25" x14ac:dyDescent="0.25">
      <c r="A9" s="23"/>
      <c r="B9" s="10" t="s">
        <v>55</v>
      </c>
      <c r="C9" s="36" t="s">
        <v>18</v>
      </c>
      <c r="D9" s="37">
        <v>2460</v>
      </c>
      <c r="E9" s="16">
        <v>5</v>
      </c>
      <c r="F9" s="24">
        <f>E9*D9</f>
        <v>12300</v>
      </c>
    </row>
    <row r="10" spans="1:6" ht="78.75" x14ac:dyDescent="0.25">
      <c r="A10" s="23"/>
      <c r="B10" s="10" t="s">
        <v>56</v>
      </c>
      <c r="C10" s="36" t="s">
        <v>18</v>
      </c>
      <c r="D10" s="37">
        <v>2460</v>
      </c>
      <c r="E10" s="16">
        <v>6</v>
      </c>
      <c r="F10" s="24">
        <f>E10*D10</f>
        <v>14760</v>
      </c>
    </row>
    <row r="11" spans="1:6" ht="15.75" x14ac:dyDescent="0.25">
      <c r="A11" s="39" t="s">
        <v>39</v>
      </c>
      <c r="B11" s="35" t="s">
        <v>48</v>
      </c>
      <c r="C11" s="38"/>
      <c r="D11" s="40"/>
      <c r="E11" s="41"/>
      <c r="F11" s="42"/>
    </row>
    <row r="12" spans="1:6" ht="126" customHeight="1" x14ac:dyDescent="0.25">
      <c r="A12" s="23"/>
      <c r="B12" s="10" t="s">
        <v>49</v>
      </c>
      <c r="C12" s="36" t="s">
        <v>18</v>
      </c>
      <c r="D12" s="37">
        <v>2460</v>
      </c>
      <c r="E12" s="16">
        <v>79</v>
      </c>
      <c r="F12" s="24">
        <f>E12*D12</f>
        <v>194340</v>
      </c>
    </row>
    <row r="13" spans="1:6" ht="15.75" x14ac:dyDescent="0.25">
      <c r="A13" s="23"/>
      <c r="B13" s="10"/>
      <c r="C13" s="36"/>
      <c r="D13" s="37"/>
      <c r="E13" s="16"/>
      <c r="F13" s="24"/>
    </row>
    <row r="14" spans="1:6" ht="15.75" x14ac:dyDescent="0.25">
      <c r="A14" s="23" t="s">
        <v>22</v>
      </c>
      <c r="B14" s="35" t="s">
        <v>62</v>
      </c>
      <c r="C14" s="36"/>
      <c r="D14" s="37"/>
      <c r="E14" s="16"/>
      <c r="F14" s="24"/>
    </row>
    <row r="15" spans="1:6" ht="78.75" x14ac:dyDescent="0.25">
      <c r="A15" s="23"/>
      <c r="B15" s="10" t="s">
        <v>50</v>
      </c>
      <c r="C15" s="36" t="s">
        <v>18</v>
      </c>
      <c r="D15" s="16">
        <v>2460</v>
      </c>
      <c r="E15" s="16">
        <v>98</v>
      </c>
      <c r="F15" s="24">
        <f>D15*E15</f>
        <v>241080</v>
      </c>
    </row>
    <row r="16" spans="1:6" ht="15.75" x14ac:dyDescent="0.25">
      <c r="A16" s="23"/>
      <c r="B16" s="10"/>
      <c r="C16" s="36"/>
      <c r="D16" s="37"/>
      <c r="E16" s="16"/>
      <c r="F16" s="24"/>
    </row>
    <row r="17" spans="1:6" ht="15.75" x14ac:dyDescent="0.25">
      <c r="A17" s="23" t="s">
        <v>24</v>
      </c>
      <c r="B17" s="35" t="s">
        <v>23</v>
      </c>
      <c r="C17" s="36"/>
      <c r="D17" s="37"/>
      <c r="E17" s="16"/>
      <c r="F17" s="24"/>
    </row>
    <row r="18" spans="1:6" ht="94.5" x14ac:dyDescent="0.25">
      <c r="A18" s="23"/>
      <c r="B18" s="10" t="s">
        <v>43</v>
      </c>
      <c r="C18" s="36" t="s">
        <v>18</v>
      </c>
      <c r="D18" s="48">
        <v>5820</v>
      </c>
      <c r="E18" s="16">
        <v>92</v>
      </c>
      <c r="F18" s="24">
        <f>E18*D18</f>
        <v>535440</v>
      </c>
    </row>
    <row r="19" spans="1:6" ht="15.75" x14ac:dyDescent="0.25">
      <c r="A19" s="23"/>
      <c r="B19" s="10"/>
      <c r="C19" s="36"/>
      <c r="D19" s="37"/>
      <c r="E19" s="16"/>
      <c r="F19" s="24"/>
    </row>
    <row r="20" spans="1:6" ht="15.75" x14ac:dyDescent="0.25">
      <c r="A20" s="23" t="s">
        <v>19</v>
      </c>
      <c r="B20" s="35" t="s">
        <v>25</v>
      </c>
      <c r="C20" s="36"/>
      <c r="D20" s="37"/>
      <c r="E20" s="16"/>
      <c r="F20" s="24"/>
    </row>
    <row r="21" spans="1:6" ht="47.25" x14ac:dyDescent="0.25">
      <c r="A21" s="23"/>
      <c r="B21" s="10" t="s">
        <v>45</v>
      </c>
      <c r="C21" s="36" t="s">
        <v>18</v>
      </c>
      <c r="D21" s="37">
        <v>5820</v>
      </c>
      <c r="E21" s="16">
        <v>16</v>
      </c>
      <c r="F21" s="24">
        <f>E21*D21</f>
        <v>93120</v>
      </c>
    </row>
    <row r="22" spans="1:6" ht="47.25" x14ac:dyDescent="0.25">
      <c r="A22" s="23"/>
      <c r="B22" s="10" t="s">
        <v>60</v>
      </c>
      <c r="C22" s="36" t="s">
        <v>18</v>
      </c>
      <c r="D22" s="37">
        <v>2460</v>
      </c>
      <c r="E22" s="16">
        <v>16</v>
      </c>
      <c r="F22" s="24">
        <f>E22*D22</f>
        <v>39360</v>
      </c>
    </row>
    <row r="23" spans="1:6" ht="15.75" x14ac:dyDescent="0.25">
      <c r="A23" s="23"/>
      <c r="B23" s="10"/>
      <c r="C23" s="36"/>
      <c r="D23" s="37"/>
      <c r="E23" s="16"/>
      <c r="F23" s="24"/>
    </row>
    <row r="24" spans="1:6" ht="15.75" x14ac:dyDescent="0.25">
      <c r="A24" s="23" t="s">
        <v>20</v>
      </c>
      <c r="B24" s="35" t="s">
        <v>26</v>
      </c>
      <c r="C24" s="36"/>
      <c r="D24" s="37"/>
      <c r="E24" s="16"/>
      <c r="F24" s="24"/>
    </row>
    <row r="25" spans="1:6" ht="78.75" x14ac:dyDescent="0.25">
      <c r="A25" s="23"/>
      <c r="B25" s="10" t="s">
        <v>61</v>
      </c>
      <c r="C25" s="36" t="s">
        <v>27</v>
      </c>
      <c r="D25" s="37">
        <v>12</v>
      </c>
      <c r="E25" s="16">
        <v>12100</v>
      </c>
      <c r="F25" s="24">
        <f>E25*D25</f>
        <v>145200</v>
      </c>
    </row>
    <row r="26" spans="1:6" ht="15.75" x14ac:dyDescent="0.25">
      <c r="A26" s="23"/>
      <c r="B26" s="10"/>
      <c r="C26" s="36"/>
      <c r="D26" s="37"/>
      <c r="E26" s="16"/>
      <c r="F26" s="24"/>
    </row>
    <row r="27" spans="1:6" ht="15.75" x14ac:dyDescent="0.25">
      <c r="A27" s="25"/>
      <c r="B27" s="12"/>
      <c r="C27" s="11"/>
      <c r="D27" s="15"/>
      <c r="E27" s="11"/>
      <c r="F27" s="26"/>
    </row>
    <row r="28" spans="1:6" ht="15.75" x14ac:dyDescent="0.25">
      <c r="A28" s="27"/>
      <c r="B28" s="13" t="s">
        <v>28</v>
      </c>
      <c r="C28" s="13"/>
      <c r="D28" s="17"/>
      <c r="E28" s="13"/>
      <c r="F28" s="28">
        <f>SUM(F4:F25)</f>
        <v>1300830</v>
      </c>
    </row>
    <row r="29" spans="1:6" ht="15.75" x14ac:dyDescent="0.25">
      <c r="A29" s="29"/>
      <c r="B29" s="14" t="s">
        <v>7</v>
      </c>
      <c r="C29" s="14"/>
      <c r="D29" s="18"/>
      <c r="E29" s="14"/>
      <c r="F29" s="28">
        <f>F28*18%</f>
        <v>234149.4</v>
      </c>
    </row>
    <row r="30" spans="1:6" ht="16.5" thickBot="1" x14ac:dyDescent="0.3">
      <c r="A30" s="30"/>
      <c r="B30" s="31" t="s">
        <v>1</v>
      </c>
      <c r="C30" s="32"/>
      <c r="D30" s="33"/>
      <c r="E30" s="32"/>
      <c r="F30" s="34">
        <f>SUM(F28:F29)</f>
        <v>1534979.4</v>
      </c>
    </row>
    <row r="31" spans="1:6" x14ac:dyDescent="0.25">
      <c r="A31" s="152" t="s">
        <v>29</v>
      </c>
      <c r="B31" s="152"/>
      <c r="C31" s="152"/>
      <c r="D31" s="152"/>
      <c r="E31" s="152"/>
    </row>
    <row r="32" spans="1:6" x14ac:dyDescent="0.25">
      <c r="A32" s="153" t="s">
        <v>30</v>
      </c>
      <c r="B32" s="153"/>
      <c r="C32" s="153"/>
      <c r="D32" s="153"/>
      <c r="E32" s="153"/>
    </row>
    <row r="33" spans="1:5" x14ac:dyDescent="0.25">
      <c r="A33" s="49" t="s">
        <v>31</v>
      </c>
      <c r="B33" s="49"/>
      <c r="C33" s="50"/>
      <c r="D33" s="51"/>
      <c r="E33" s="52"/>
    </row>
    <row r="34" spans="1:5" x14ac:dyDescent="0.25">
      <c r="A34" s="49" t="s">
        <v>46</v>
      </c>
      <c r="B34" s="49"/>
      <c r="C34" s="50"/>
      <c r="D34" s="51"/>
      <c r="E34" s="52"/>
    </row>
    <row r="35" spans="1:5" x14ac:dyDescent="0.25">
      <c r="A35" s="49" t="s">
        <v>32</v>
      </c>
      <c r="B35" s="49"/>
      <c r="C35" s="52"/>
      <c r="D35" s="51"/>
      <c r="E35" s="52"/>
    </row>
    <row r="36" spans="1:5" x14ac:dyDescent="0.25">
      <c r="A36" s="49" t="s">
        <v>33</v>
      </c>
      <c r="B36" s="49"/>
      <c r="C36" s="52"/>
      <c r="D36" s="51"/>
      <c r="E36" s="52"/>
    </row>
    <row r="37" spans="1:5" x14ac:dyDescent="0.25">
      <c r="A37" s="53" t="s">
        <v>34</v>
      </c>
      <c r="B37" s="54"/>
      <c r="C37" s="55"/>
      <c r="D37" s="56"/>
      <c r="E37" s="55"/>
    </row>
    <row r="38" spans="1:5" x14ac:dyDescent="0.25">
      <c r="A38" s="49" t="s">
        <v>35</v>
      </c>
      <c r="B38" s="49"/>
      <c r="C38" s="55"/>
      <c r="D38" s="56"/>
      <c r="E38" s="55"/>
    </row>
    <row r="39" spans="1:5" x14ac:dyDescent="0.25">
      <c r="A39" s="49" t="s">
        <v>36</v>
      </c>
      <c r="B39" s="49"/>
      <c r="C39" s="55"/>
      <c r="D39" s="56"/>
      <c r="E39" s="55"/>
    </row>
    <row r="40" spans="1:5" x14ac:dyDescent="0.25">
      <c r="A40" s="49" t="s">
        <v>37</v>
      </c>
      <c r="B40" s="49"/>
      <c r="C40" s="55"/>
      <c r="D40" s="56"/>
      <c r="E40" s="55"/>
    </row>
    <row r="41" spans="1:5" ht="35.1" customHeight="1" x14ac:dyDescent="0.25">
      <c r="A41" s="146" t="s">
        <v>47</v>
      </c>
      <c r="B41" s="147"/>
      <c r="C41" s="147"/>
      <c r="D41" s="147"/>
      <c r="E41" s="148"/>
    </row>
  </sheetData>
  <protectedRanges>
    <protectedRange sqref="E15" name="Range1_1_1"/>
  </protectedRanges>
  <mergeCells count="4">
    <mergeCell ref="A2:F2"/>
    <mergeCell ref="A31:E31"/>
    <mergeCell ref="A32:E32"/>
    <mergeCell ref="A41:E41"/>
  </mergeCells>
  <pageMargins left="0.70866141732283472" right="0.70866141732283472" top="0.74803149606299213" bottom="0.74803149606299213" header="0.31496062992125984" footer="0.31496062992125984"/>
  <pageSetup paperSize="9" scale="5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4:H16"/>
  <sheetViews>
    <sheetView workbookViewId="0">
      <selection activeCell="H16" sqref="H16"/>
    </sheetView>
  </sheetViews>
  <sheetFormatPr defaultColWidth="8.5703125" defaultRowHeight="15" x14ac:dyDescent="0.25"/>
  <cols>
    <col min="4" max="4" width="9.42578125" bestFit="1" customWidth="1"/>
    <col min="5" max="5" width="7.5703125" bestFit="1" customWidth="1"/>
    <col min="6" max="6" width="9.42578125" bestFit="1" customWidth="1"/>
    <col min="7" max="7" width="7.42578125" bestFit="1" customWidth="1"/>
  </cols>
  <sheetData>
    <row r="4" spans="4:8" x14ac:dyDescent="0.25">
      <c r="D4" s="3"/>
      <c r="E4" s="3" t="s">
        <v>4</v>
      </c>
      <c r="F4" s="3" t="s">
        <v>9</v>
      </c>
      <c r="G4" s="3" t="s">
        <v>0</v>
      </c>
    </row>
    <row r="5" spans="4:8" x14ac:dyDescent="0.25">
      <c r="D5" s="1" t="s">
        <v>13</v>
      </c>
      <c r="E5" s="6">
        <f>0.25*1*0.2</f>
        <v>0.05</v>
      </c>
      <c r="F5" s="1">
        <v>600</v>
      </c>
      <c r="G5" s="2">
        <f>E5*F5</f>
        <v>30</v>
      </c>
    </row>
    <row r="6" spans="4:8" x14ac:dyDescent="0.25">
      <c r="D6" s="1" t="s">
        <v>8</v>
      </c>
      <c r="E6" s="6">
        <f>0.25*0.075*1</f>
        <v>1.8749999999999999E-2</v>
      </c>
      <c r="F6" s="1">
        <v>6500</v>
      </c>
      <c r="G6" s="2">
        <f>E6*F6</f>
        <v>121.875</v>
      </c>
    </row>
    <row r="7" spans="4:8" x14ac:dyDescent="0.25">
      <c r="D7" s="1" t="s">
        <v>10</v>
      </c>
      <c r="E7" s="6">
        <f>1*0.15*0.2</f>
        <v>0.03</v>
      </c>
      <c r="F7" s="1">
        <v>6500</v>
      </c>
      <c r="G7" s="1">
        <f>E7*F7</f>
        <v>195</v>
      </c>
    </row>
    <row r="8" spans="4:8" x14ac:dyDescent="0.25">
      <c r="D8" s="1" t="s">
        <v>11</v>
      </c>
      <c r="E8" s="6">
        <f>1*0.15*0.075</f>
        <v>1.125E-2</v>
      </c>
      <c r="F8" s="1">
        <v>7000</v>
      </c>
      <c r="G8" s="2">
        <f>E8*F8</f>
        <v>78.75</v>
      </c>
    </row>
    <row r="9" spans="4:8" x14ac:dyDescent="0.25">
      <c r="D9" s="1" t="s">
        <v>12</v>
      </c>
      <c r="E9" s="6">
        <f>0.395</f>
        <v>0.39500000000000002</v>
      </c>
      <c r="F9" s="1">
        <v>100</v>
      </c>
      <c r="G9" s="2">
        <f>E9*F9</f>
        <v>39.5</v>
      </c>
    </row>
    <row r="10" spans="4:8" x14ac:dyDescent="0.25">
      <c r="D10" s="1"/>
      <c r="E10" s="1"/>
      <c r="F10" s="1"/>
      <c r="G10" s="2">
        <f>SUM(G5:G9)</f>
        <v>465.125</v>
      </c>
    </row>
    <row r="11" spans="4:8" x14ac:dyDescent="0.25">
      <c r="D11" s="1"/>
      <c r="E11" s="1"/>
      <c r="F11" s="5" t="s">
        <v>15</v>
      </c>
      <c r="G11" s="7">
        <f>G10*1.15</f>
        <v>534.89374999999995</v>
      </c>
    </row>
    <row r="12" spans="4:8" x14ac:dyDescent="0.25">
      <c r="D12" s="1"/>
      <c r="E12" s="1"/>
      <c r="F12" s="1"/>
      <c r="G12" s="2">
        <f>G10/3.28</f>
        <v>141.8064024390244</v>
      </c>
    </row>
    <row r="13" spans="4:8" x14ac:dyDescent="0.25">
      <c r="D13" s="4"/>
      <c r="E13" s="4"/>
      <c r="F13" s="5" t="s">
        <v>14</v>
      </c>
      <c r="G13" s="7">
        <f>G12*1.15</f>
        <v>163.07736280487805</v>
      </c>
    </row>
    <row r="15" spans="4:8" x14ac:dyDescent="0.25">
      <c r="G15">
        <f>400*3.28</f>
        <v>1312</v>
      </c>
    </row>
    <row r="16" spans="4:8" x14ac:dyDescent="0.25">
      <c r="G16">
        <f>G15*G13</f>
        <v>213957.5</v>
      </c>
      <c r="H16">
        <f>G15*510</f>
        <v>669120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basketball</vt:lpstr>
      <vt:lpstr>TENNIS</vt:lpstr>
      <vt:lpstr>VOLLEYBALL</vt:lpstr>
      <vt:lpstr>FOOTBALL</vt:lpstr>
      <vt:lpstr>CRICKET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Sharath Gowda</dc:creator>
  <cp:lastModifiedBy>Santanu Bose</cp:lastModifiedBy>
  <cp:lastPrinted>2026-04-29T09:38:30Z</cp:lastPrinted>
  <dcterms:created xsi:type="dcterms:W3CDTF">2015-06-05T18:17:20Z</dcterms:created>
  <dcterms:modified xsi:type="dcterms:W3CDTF">2026-07-06T04:23:38Z</dcterms:modified>
</cp:coreProperties>
</file>